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raihi_n\Desktop\ACT2035\"/>
    </mc:Choice>
  </mc:AlternateContent>
  <xr:revisionPtr revIDLastSave="0" documentId="13_ncr:1_{443D5050-72F7-44DA-BD65-16DDAAC1C495}" xr6:coauthVersionLast="47" xr6:coauthVersionMax="47" xr10:uidLastSave="{00000000-0000-0000-0000-000000000000}"/>
  <bookViews>
    <workbookView xWindow="-120" yWindow="-120" windowWidth="29040" windowHeight="15720" xr2:uid="{DD3D7422-D003-4BA6-B1D9-4144DFDF215D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" i="1" l="1"/>
  <c r="O6" i="1"/>
  <c r="O7" i="1"/>
  <c r="O8" i="1"/>
  <c r="O4" i="1"/>
  <c r="P4" i="1" s="1"/>
  <c r="L5" i="1"/>
  <c r="L4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3" i="1"/>
  <c r="P5" i="1" l="1"/>
  <c r="P6" i="1" s="1"/>
  <c r="P7" i="1" s="1"/>
  <c r="P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</author>
  </authors>
  <commentList>
    <comment ref="I1" authorId="0" shapeId="0" xr:uid="{2206E8E6-826E-496F-85D0-A32BA9B5025C}">
      <text>
        <r>
          <rPr>
            <b/>
            <sz val="9"/>
            <color indexed="81"/>
            <rFont val="Tahoma"/>
            <charset val="1"/>
          </rPr>
          <t>profil:</t>
        </r>
        <r>
          <rPr>
            <sz val="9"/>
            <color indexed="81"/>
            <rFont val="Tahoma"/>
            <charset val="1"/>
          </rPr>
          <t xml:space="preserve">
1_)Céer une macro de néttoyage de données et qui permet de calculer le rendement
2_) Créer une macro qui vous permet de télécharger les données automatique de YF</t>
        </r>
      </text>
    </comment>
    <comment ref="O8" authorId="0" shapeId="0" xr:uid="{EF251311-9D3A-4029-AFE8-AF2DC63540CC}">
      <text>
        <r>
          <rPr>
            <b/>
            <sz val="9"/>
            <color indexed="81"/>
            <rFont val="Tahoma"/>
            <family val="2"/>
          </rPr>
          <t>profil:</t>
        </r>
        <r>
          <rPr>
            <sz val="9"/>
            <color indexed="81"/>
            <rFont val="Tahoma"/>
            <family val="2"/>
          </rPr>
          <t xml:space="preserve">
Calculer la valeur du quotidien au jours 5 x Cumulatif au jours 5 </t>
        </r>
      </text>
    </comment>
    <comment ref="K14" authorId="0" shapeId="0" xr:uid="{52AFAB9D-F3F7-4FC8-8A2B-8AEDE387AC9B}">
      <text>
        <r>
          <rPr>
            <b/>
            <sz val="9"/>
            <color indexed="81"/>
            <rFont val="Tahoma"/>
            <charset val="1"/>
          </rPr>
          <t>profil:</t>
        </r>
        <r>
          <rPr>
            <sz val="9"/>
            <color indexed="81"/>
            <rFont val="Tahoma"/>
            <charset val="1"/>
          </rPr>
          <t xml:space="preserve">
Si la moyenne &gt; Valeur + sdv*,01 achete sinon vend</t>
        </r>
      </text>
    </comment>
    <comment ref="K20" authorId="0" shapeId="0" xr:uid="{29419591-6CF2-470D-8404-B1FD24F1568F}">
      <text>
        <r>
          <rPr>
            <b/>
            <sz val="9"/>
            <color indexed="81"/>
            <rFont val="Tahoma"/>
            <family val="2"/>
          </rPr>
          <t>profil:</t>
        </r>
        <r>
          <rPr>
            <sz val="9"/>
            <color indexed="81"/>
            <rFont val="Tahoma"/>
            <family val="2"/>
          </rPr>
          <t xml:space="preserve">
Faire un graphique qui illustre le prix quotidient vs le prix moyen sur la colonne Close (E)</t>
        </r>
      </text>
    </comment>
  </commentList>
</comments>
</file>

<file path=xl/sharedStrings.xml><?xml version="1.0" encoding="utf-8"?>
<sst xmlns="http://schemas.openxmlformats.org/spreadsheetml/2006/main" count="273" uniqueCount="272">
  <si>
    <t>Date</t>
  </si>
  <si>
    <t>Open</t>
  </si>
  <si>
    <t>High</t>
  </si>
  <si>
    <t>Low</t>
  </si>
  <si>
    <t>Close*</t>
  </si>
  <si>
    <t>Adj Close**</t>
  </si>
  <si>
    <t>Volume</t>
  </si>
  <si>
    <t>Nov 07, 2023</t>
  </si>
  <si>
    <t>Nov 06, 2023</t>
  </si>
  <si>
    <t>Nov 03, 2023</t>
  </si>
  <si>
    <t>Nov 02, 2023</t>
  </si>
  <si>
    <t>Nov 01, 2023</t>
  </si>
  <si>
    <t>Oct 31, 2023</t>
  </si>
  <si>
    <t>Oct 30, 2023</t>
  </si>
  <si>
    <t>Oct 27, 2023</t>
  </si>
  <si>
    <t>Oct 26, 2023</t>
  </si>
  <si>
    <t>Oct 25, 2023</t>
  </si>
  <si>
    <t>Oct 24, 2023</t>
  </si>
  <si>
    <t>Oct 23, 2023</t>
  </si>
  <si>
    <t>Oct 20, 2023</t>
  </si>
  <si>
    <t>Oct 19, 2023</t>
  </si>
  <si>
    <t>Oct 18, 2023</t>
  </si>
  <si>
    <t>Oct 17, 2023</t>
  </si>
  <si>
    <t>Oct 16, 2023</t>
  </si>
  <si>
    <t>Oct 13, 2023</t>
  </si>
  <si>
    <t>-</t>
  </si>
  <si>
    <t>Oct 12, 2023</t>
  </si>
  <si>
    <t>Oct 11, 2023</t>
  </si>
  <si>
    <t>Oct 10, 2023</t>
  </si>
  <si>
    <t>Oct 09, 2023</t>
  </si>
  <si>
    <t>Oct 06, 2023</t>
  </si>
  <si>
    <t>Oct 05, 2023</t>
  </si>
  <si>
    <t>Oct 04, 2023</t>
  </si>
  <si>
    <t>Oct 03, 2023</t>
  </si>
  <si>
    <t>Oct 02, 2023</t>
  </si>
  <si>
    <t>Sep 29, 2023</t>
  </si>
  <si>
    <t>Sep 28, 2023</t>
  </si>
  <si>
    <t>Sep 27, 2023</t>
  </si>
  <si>
    <t>Sep 26, 2023</t>
  </si>
  <si>
    <t>Sep 25, 2023</t>
  </si>
  <si>
    <t>Sep 22, 2023</t>
  </si>
  <si>
    <t>Sep 21, 2023</t>
  </si>
  <si>
    <t>Sep 20, 2023</t>
  </si>
  <si>
    <t>Sep 19, 2023</t>
  </si>
  <si>
    <t>Sep 18, 2023</t>
  </si>
  <si>
    <t>Sep 15, 2023</t>
  </si>
  <si>
    <t>Sep 14, 2023</t>
  </si>
  <si>
    <t>Sep 13, 2023</t>
  </si>
  <si>
    <t>Sep 12, 2023</t>
  </si>
  <si>
    <t>Sep 11, 2023</t>
  </si>
  <si>
    <t>Sep 08, 2023</t>
  </si>
  <si>
    <t>Sep 07, 2023</t>
  </si>
  <si>
    <t>Sep 06, 2023</t>
  </si>
  <si>
    <t>Sep 05, 2023</t>
  </si>
  <si>
    <t>Sep 01, 2023</t>
  </si>
  <si>
    <t>Aug 31, 2023</t>
  </si>
  <si>
    <t>Aug 30, 2023</t>
  </si>
  <si>
    <t>Aug 29, 2023</t>
  </si>
  <si>
    <t>Aug 28, 2023</t>
  </si>
  <si>
    <t>Aug 25, 2023</t>
  </si>
  <si>
    <t>Aug 24, 2023</t>
  </si>
  <si>
    <t>Aug 23, 2023</t>
  </si>
  <si>
    <t>Aug 22, 2023</t>
  </si>
  <si>
    <t>Aug 21, 2023</t>
  </si>
  <si>
    <t>Aug 18, 2023</t>
  </si>
  <si>
    <t>Aug 17, 2023</t>
  </si>
  <si>
    <t>Aug 16, 2023</t>
  </si>
  <si>
    <t>Aug 15, 2023</t>
  </si>
  <si>
    <t>Aug 14, 2023</t>
  </si>
  <si>
    <t>Aug 11, 2023</t>
  </si>
  <si>
    <t>Aug 10, 2023</t>
  </si>
  <si>
    <t>Aug 09, 2023</t>
  </si>
  <si>
    <t>Aug 08, 2023</t>
  </si>
  <si>
    <t>Aug 07, 2023</t>
  </si>
  <si>
    <t>Aug 04, 2023</t>
  </si>
  <si>
    <t>Aug 03, 2023</t>
  </si>
  <si>
    <t>Aug 02, 2023</t>
  </si>
  <si>
    <t>Aug 01, 2023</t>
  </si>
  <si>
    <t>Jul 31, 2023</t>
  </si>
  <si>
    <t>Jul 28, 2023</t>
  </si>
  <si>
    <t>Jul 27, 2023</t>
  </si>
  <si>
    <t>Jul 26, 2023</t>
  </si>
  <si>
    <t>Jul 25, 2023</t>
  </si>
  <si>
    <t>Jul 24, 2023</t>
  </si>
  <si>
    <t>Jul 21, 2023</t>
  </si>
  <si>
    <t>Jul 20, 2023</t>
  </si>
  <si>
    <t>Jul 19, 2023</t>
  </si>
  <si>
    <t>Jul 18, 2023</t>
  </si>
  <si>
    <t>Jul 17, 2023</t>
  </si>
  <si>
    <t>Jul 14, 2023</t>
  </si>
  <si>
    <t>Jul 13, 2023</t>
  </si>
  <si>
    <t>Jul 12, 2023</t>
  </si>
  <si>
    <t>Jul 11, 2023</t>
  </si>
  <si>
    <t>Jul 10, 2023</t>
  </si>
  <si>
    <t>Jul 07, 2023</t>
  </si>
  <si>
    <t>Jul 06, 2023</t>
  </si>
  <si>
    <t>Jul 05, 2023</t>
  </si>
  <si>
    <t>Jul 03, 2023</t>
  </si>
  <si>
    <t>Jun 30, 2023</t>
  </si>
  <si>
    <t>Jun 29, 2023</t>
  </si>
  <si>
    <t>Jun 28, 2023</t>
  </si>
  <si>
    <t>Jun 27, 2023</t>
  </si>
  <si>
    <t>Jun 26, 2023</t>
  </si>
  <si>
    <t>Jun 23, 2023</t>
  </si>
  <si>
    <t>Jun 22, 2023</t>
  </si>
  <si>
    <t>Jun 21, 2023</t>
  </si>
  <si>
    <t>Jun 20, 2023</t>
  </si>
  <si>
    <t>Jun 16, 2023</t>
  </si>
  <si>
    <t>Jun 15, 2023</t>
  </si>
  <si>
    <t>Jun 14, 2023</t>
  </si>
  <si>
    <t>Jun 13, 2023</t>
  </si>
  <si>
    <t>Jun 12, 2023</t>
  </si>
  <si>
    <t>Jun 09, 2023</t>
  </si>
  <si>
    <t>Jun 08, 2023</t>
  </si>
  <si>
    <t>Jun 07, 2023</t>
  </si>
  <si>
    <t>Jun 06, 2023</t>
  </si>
  <si>
    <t>Jun 05, 2023</t>
  </si>
  <si>
    <t>Jun 02, 2023</t>
  </si>
  <si>
    <t>Jun 01, 2023</t>
  </si>
  <si>
    <t>May 31, 2023</t>
  </si>
  <si>
    <t>May 30, 2023</t>
  </si>
  <si>
    <t>May 26, 2023</t>
  </si>
  <si>
    <t>May 25, 2023</t>
  </si>
  <si>
    <t>May 24, 2023</t>
  </si>
  <si>
    <t>May 23, 2023</t>
  </si>
  <si>
    <t>May 22, 2023</t>
  </si>
  <si>
    <t>May 19, 2023</t>
  </si>
  <si>
    <t>May 18, 2023</t>
  </si>
  <si>
    <t>May 17, 2023</t>
  </si>
  <si>
    <t>May 16, 2023</t>
  </si>
  <si>
    <t>May 15, 2023</t>
  </si>
  <si>
    <t>May 12, 2023</t>
  </si>
  <si>
    <t>May 11, 2023</t>
  </si>
  <si>
    <t>May 10, 2023</t>
  </si>
  <si>
    <t>May 09, 2023</t>
  </si>
  <si>
    <t>May 08, 2023</t>
  </si>
  <si>
    <t>May 05, 2023</t>
  </si>
  <si>
    <t>May 04, 2023</t>
  </si>
  <si>
    <t>May 03, 2023</t>
  </si>
  <si>
    <t>May 02, 2023</t>
  </si>
  <si>
    <t>May 01, 2023</t>
  </si>
  <si>
    <t>Apr 28, 2023</t>
  </si>
  <si>
    <t>Apr 27, 2023</t>
  </si>
  <si>
    <t>Apr 26, 2023</t>
  </si>
  <si>
    <t>Apr 25, 2023</t>
  </si>
  <si>
    <t>Apr 24, 2023</t>
  </si>
  <si>
    <t>Apr 21, 2023</t>
  </si>
  <si>
    <t>Apr 20, 2023</t>
  </si>
  <si>
    <t>Apr 19, 2023</t>
  </si>
  <si>
    <t>Apr 18, 2023</t>
  </si>
  <si>
    <t>Apr 17, 2023</t>
  </si>
  <si>
    <t>Apr 14, 2023</t>
  </si>
  <si>
    <t>Apr 13, 2023</t>
  </si>
  <si>
    <t>Apr 12, 2023</t>
  </si>
  <si>
    <t>Apr 11, 2023</t>
  </si>
  <si>
    <t>Apr 10, 2023</t>
  </si>
  <si>
    <t>Apr 06, 2023</t>
  </si>
  <si>
    <t>Apr 05, 2023</t>
  </si>
  <si>
    <t>Apr 04, 2023</t>
  </si>
  <si>
    <t>Apr 03, 2023</t>
  </si>
  <si>
    <t>Mar 31, 2023</t>
  </si>
  <si>
    <t>Mar 30, 2023</t>
  </si>
  <si>
    <t>Mar 29, 2023</t>
  </si>
  <si>
    <t>Mar 28, 2023</t>
  </si>
  <si>
    <t>Mar 27, 2023</t>
  </si>
  <si>
    <t>Mar 24, 2023</t>
  </si>
  <si>
    <t>Mar 23, 2023</t>
  </si>
  <si>
    <t>Mar 22, 2023</t>
  </si>
  <si>
    <t>Mar 21, 2023</t>
  </si>
  <si>
    <t>Mar 20, 2023</t>
  </si>
  <si>
    <t>Mar 17, 2023</t>
  </si>
  <si>
    <t>Mar 16, 2023</t>
  </si>
  <si>
    <t>Mar 15, 2023</t>
  </si>
  <si>
    <t>Mar 14, 2023</t>
  </si>
  <si>
    <t>Mar 13, 2023</t>
  </si>
  <si>
    <t>Mar 10, 2023</t>
  </si>
  <si>
    <t>Mar 09, 2023</t>
  </si>
  <si>
    <t>Mar 08, 2023</t>
  </si>
  <si>
    <t>Mar 07, 2023</t>
  </si>
  <si>
    <t>Mar 06, 2023</t>
  </si>
  <si>
    <t>Mar 03, 2023</t>
  </si>
  <si>
    <t>Mar 02, 2023</t>
  </si>
  <si>
    <t>Mar 01, 2023</t>
  </si>
  <si>
    <t>Feb 28, 2023</t>
  </si>
  <si>
    <t>Feb 27, 2023</t>
  </si>
  <si>
    <t>Feb 24, 2023</t>
  </si>
  <si>
    <t>Feb 23, 2023</t>
  </si>
  <si>
    <t>Feb 22, 2023</t>
  </si>
  <si>
    <t>Feb 21, 2023</t>
  </si>
  <si>
    <t>Feb 17, 2023</t>
  </si>
  <si>
    <t>Feb 16, 2023</t>
  </si>
  <si>
    <t>Feb 15, 2023</t>
  </si>
  <si>
    <t>Feb 14, 2023</t>
  </si>
  <si>
    <t>Feb 13, 2023</t>
  </si>
  <si>
    <t>Feb 10, 2023</t>
  </si>
  <si>
    <t>Feb 09, 2023</t>
  </si>
  <si>
    <t>Feb 08, 2023</t>
  </si>
  <si>
    <t>Feb 07, 2023</t>
  </si>
  <si>
    <t>Feb 06, 2023</t>
  </si>
  <si>
    <t>Feb 03, 2023</t>
  </si>
  <si>
    <t>Feb 02, 2023</t>
  </si>
  <si>
    <t>Feb 01, 2023</t>
  </si>
  <si>
    <t>Jan 31, 2023</t>
  </si>
  <si>
    <t>Jan 30, 2023</t>
  </si>
  <si>
    <t>Jan 27, 2023</t>
  </si>
  <si>
    <t>Jan 26, 2023</t>
  </si>
  <si>
    <t>Jan 25, 2023</t>
  </si>
  <si>
    <t>Jan 24, 2023</t>
  </si>
  <si>
    <t>Jan 23, 2023</t>
  </si>
  <si>
    <t>Jan 20, 2023</t>
  </si>
  <si>
    <t>Jan 19, 2023</t>
  </si>
  <si>
    <t>Jan 18, 2023</t>
  </si>
  <si>
    <t>Jan 17, 2023</t>
  </si>
  <si>
    <t>Jan 13, 2023</t>
  </si>
  <si>
    <t>Jan 12, 2023</t>
  </si>
  <si>
    <t>Jan 11, 2023</t>
  </si>
  <si>
    <t>Jan 10, 2023</t>
  </si>
  <si>
    <t>Jan 09, 2023</t>
  </si>
  <si>
    <t>Jan 06, 2023</t>
  </si>
  <si>
    <t>Jan 05, 2023</t>
  </si>
  <si>
    <t>Jan 04, 2023</t>
  </si>
  <si>
    <t>Jan 03, 2023</t>
  </si>
  <si>
    <t>Dec 30, 2022</t>
  </si>
  <si>
    <t>Dec 29, 2022</t>
  </si>
  <si>
    <t>Dec 28, 2022</t>
  </si>
  <si>
    <t>Dec 27, 2022</t>
  </si>
  <si>
    <t>Dec 23, 2022</t>
  </si>
  <si>
    <t>Dec 22, 2022</t>
  </si>
  <si>
    <t>Dec 21, 2022</t>
  </si>
  <si>
    <t>Dec 20, 2022</t>
  </si>
  <si>
    <t>Dec 19, 2022</t>
  </si>
  <si>
    <t>Dec 16, 2022</t>
  </si>
  <si>
    <t>Dec 15, 2022</t>
  </si>
  <si>
    <t>Dec 14, 2022</t>
  </si>
  <si>
    <t>Dec 13, 2022</t>
  </si>
  <si>
    <t>Dec 12, 2022</t>
  </si>
  <si>
    <t>Dec 09, 2022</t>
  </si>
  <si>
    <t>Dec 08, 2022</t>
  </si>
  <si>
    <t>Dec 07, 2022</t>
  </si>
  <si>
    <t>Dec 06, 2022</t>
  </si>
  <si>
    <t>Dec 05, 2022</t>
  </si>
  <si>
    <t>Dec 02, 2022</t>
  </si>
  <si>
    <t>Dec 01, 2022</t>
  </si>
  <si>
    <t>Nov 30, 2022</t>
  </si>
  <si>
    <t>Nov 29, 2022</t>
  </si>
  <si>
    <t>Nov 28, 2022</t>
  </si>
  <si>
    <t>Nov 25, 2022</t>
  </si>
  <si>
    <t>Nov 23, 2022</t>
  </si>
  <si>
    <t>Nov 22, 2022</t>
  </si>
  <si>
    <t>Nov 21, 2022</t>
  </si>
  <si>
    <t>Nov 18, 2022</t>
  </si>
  <si>
    <t>Nov 17, 2022</t>
  </si>
  <si>
    <t>Nov 16, 2022</t>
  </si>
  <si>
    <t>Nov 15, 2022</t>
  </si>
  <si>
    <t>Nov 14, 2022</t>
  </si>
  <si>
    <t>Nov 11, 2022</t>
  </si>
  <si>
    <t>Nov 10, 2022</t>
  </si>
  <si>
    <t>Nov 09, 2022</t>
  </si>
  <si>
    <t>Nov 08, 2022</t>
  </si>
  <si>
    <t>Nov 07, 2022</t>
  </si>
  <si>
    <t>Delta</t>
  </si>
  <si>
    <t>----</t>
  </si>
  <si>
    <t>Rendement</t>
  </si>
  <si>
    <t>Moyenne des R</t>
  </si>
  <si>
    <t>Écart-Type</t>
  </si>
  <si>
    <t>Jour_1</t>
  </si>
  <si>
    <t>Jour_2</t>
  </si>
  <si>
    <t>Jour_3</t>
  </si>
  <si>
    <t>Jour_4</t>
  </si>
  <si>
    <t>Jour_5</t>
  </si>
  <si>
    <t>Quotidien</t>
  </si>
  <si>
    <t>Cumulatif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</si>
</sst>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0.000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10" fontId="0" fillId="0" borderId="0" xfId="1" applyNumberFormat="1" applyFont="1"/>
    <xf numFmtId="10" fontId="0" fillId="0" borderId="0" xfId="0" applyNumberFormat="1"/>
    <xf numFmtId="0" fontId="0" fillId="2" borderId="0" xfId="0" applyFill="1"/>
    <xf numFmtId="169" fontId="0" fillId="0" borderId="0" xfId="1" applyNumberFormat="1" applyFont="1"/>
    <xf numFmtId="0" fontId="0" fillId="3" borderId="0" xfId="0" applyFill="1"/>
    <xf numFmtId="0" fontId="0" fillId="4" borderId="0" xfId="0" applyFill="1"/>
    <xf numFmtId="0" fontId="0" fillId="5" borderId="0" xfId="0" applyFill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638175</xdr:colOff>
          <xdr:row>0</xdr:row>
          <xdr:rowOff>123825</xdr:rowOff>
        </xdr:from>
        <xdr:to>
          <xdr:col>12</xdr:col>
          <xdr:colOff>447675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733425</xdr:colOff>
          <xdr:row>13</xdr:row>
          <xdr:rowOff>133350</xdr:rowOff>
        </xdr:from>
        <xdr:to>
          <xdr:col>11</xdr:col>
          <xdr:colOff>704850</xdr:colOff>
          <xdr:row>16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On achete ou on vend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F32C6-9B32-447D-8F1C-F1518CB61FE9}">
  <sheetPr codeName="Feuil1"/>
  <dimension ref="A1:P253"/>
  <sheetViews>
    <sheetView tabSelected="1" zoomScale="160" zoomScaleNormal="160" workbookViewId="0">
      <selection activeCell="J7" sqref="J7"/>
    </sheetView>
  </sheetViews>
  <sheetFormatPr baseColWidth="10" defaultRowHeight="15" x14ac:dyDescent="0.25"/>
  <cols>
    <col min="7" max="7" width="12.7109375" bestFit="1" customWidth="1"/>
    <col min="8" max="8" width="11.42578125" style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260</v>
      </c>
      <c r="I1" t="s">
        <v>262</v>
      </c>
    </row>
    <row r="2" spans="1:16" x14ac:dyDescent="0.25">
      <c r="A2" t="s">
        <v>7</v>
      </c>
      <c r="B2">
        <v>4366.21</v>
      </c>
      <c r="C2">
        <v>4386.26</v>
      </c>
      <c r="D2">
        <v>4355.41</v>
      </c>
      <c r="E2">
        <v>4378.38</v>
      </c>
      <c r="F2">
        <v>4378.38</v>
      </c>
      <c r="G2">
        <v>2273382000</v>
      </c>
      <c r="H2" s="2" t="s">
        <v>261</v>
      </c>
      <c r="I2" s="2" t="s">
        <v>261</v>
      </c>
    </row>
    <row r="3" spans="1:16" x14ac:dyDescent="0.25">
      <c r="A3" t="s">
        <v>8</v>
      </c>
      <c r="B3">
        <v>4364.2700000000004</v>
      </c>
      <c r="C3">
        <v>4372.21</v>
      </c>
      <c r="D3">
        <v>4347.53</v>
      </c>
      <c r="E3">
        <v>4365.9799999999996</v>
      </c>
      <c r="F3">
        <v>4365.9799999999996</v>
      </c>
      <c r="G3">
        <v>3656340000</v>
      </c>
      <c r="H3" s="1">
        <f>E3-E2</f>
        <v>-12.400000000000546</v>
      </c>
      <c r="I3" s="3">
        <f>H3/E2</f>
        <v>-2.8320977165071431E-3</v>
      </c>
      <c r="O3" s="5" t="s">
        <v>270</v>
      </c>
      <c r="P3" s="5" t="s">
        <v>271</v>
      </c>
    </row>
    <row r="4" spans="1:16" x14ac:dyDescent="0.25">
      <c r="A4" t="s">
        <v>9</v>
      </c>
      <c r="B4">
        <v>4334.2299999999996</v>
      </c>
      <c r="C4">
        <v>4373.62</v>
      </c>
      <c r="D4">
        <v>4334.2299999999996</v>
      </c>
      <c r="E4">
        <v>4358.34</v>
      </c>
      <c r="F4">
        <v>4358.34</v>
      </c>
      <c r="G4">
        <v>4570960000</v>
      </c>
      <c r="H4" s="1">
        <f t="shared" ref="H4:H67" si="0">E4-E3</f>
        <v>-7.6399999999994179</v>
      </c>
      <c r="I4" s="3">
        <f t="shared" ref="I4:I67" si="1">H4/E3</f>
        <v>-1.7498934947020872E-3</v>
      </c>
      <c r="K4" s="5" t="s">
        <v>263</v>
      </c>
      <c r="L4" s="4">
        <f>AVERAGE($I$3:$I$253)</f>
        <v>-5.108556826341024E-4</v>
      </c>
      <c r="N4" s="5" t="s">
        <v>265</v>
      </c>
      <c r="O4" s="6">
        <f ca="1">_xlfn.NORM.INV(RAND(),$L$4,$L$5)</f>
        <v>-2.2401613804545257E-4</v>
      </c>
      <c r="P4" s="6">
        <f ca="1">O4</f>
        <v>-2.2401613804545257E-4</v>
      </c>
    </row>
    <row r="5" spans="1:16" x14ac:dyDescent="0.25">
      <c r="A5" t="s">
        <v>10</v>
      </c>
      <c r="B5">
        <v>4268.26</v>
      </c>
      <c r="C5">
        <v>4319.72</v>
      </c>
      <c r="D5">
        <v>4268.26</v>
      </c>
      <c r="E5">
        <v>4317.78</v>
      </c>
      <c r="F5">
        <v>4317.78</v>
      </c>
      <c r="G5">
        <v>4669780000</v>
      </c>
      <c r="H5" s="1">
        <f t="shared" si="0"/>
        <v>-40.5600000000004</v>
      </c>
      <c r="I5" s="3">
        <f t="shared" si="1"/>
        <v>-9.3062955161828578E-3</v>
      </c>
      <c r="K5" s="5" t="s">
        <v>264</v>
      </c>
      <c r="L5" s="3">
        <f>_xlfn.STDEV.S(I3:I253)</f>
        <v>9.6227406907538025E-3</v>
      </c>
      <c r="N5" s="5" t="s">
        <v>266</v>
      </c>
      <c r="O5" s="6">
        <f t="shared" ref="O5:O8" ca="1" si="2">_xlfn.NORM.INV(RAND(),$L$4,$L$5)</f>
        <v>1.8792363638557412E-3</v>
      </c>
      <c r="P5" s="6">
        <f ca="1">P4+O5</f>
        <v>1.6552202258102887E-3</v>
      </c>
    </row>
    <row r="6" spans="1:16" x14ac:dyDescent="0.25">
      <c r="A6" t="s">
        <v>11</v>
      </c>
      <c r="B6">
        <v>4201.2700000000004</v>
      </c>
      <c r="C6">
        <v>4245.6400000000003</v>
      </c>
      <c r="D6">
        <v>4197.74</v>
      </c>
      <c r="E6">
        <v>4237.8599999999997</v>
      </c>
      <c r="F6">
        <v>4237.8599999999997</v>
      </c>
      <c r="G6">
        <v>4224900000</v>
      </c>
      <c r="H6" s="1">
        <f t="shared" si="0"/>
        <v>-79.920000000000073</v>
      </c>
      <c r="I6" s="3">
        <f t="shared" si="1"/>
        <v>-1.8509511832469482E-2</v>
      </c>
      <c r="N6" s="5" t="s">
        <v>267</v>
      </c>
      <c r="O6" s="6">
        <f t="shared" ca="1" si="2"/>
        <v>-2.3506924305854771E-3</v>
      </c>
      <c r="P6" s="6">
        <f t="shared" ref="P6:P8" ca="1" si="3">P5+O6</f>
        <v>-6.9547220477518849E-4</v>
      </c>
    </row>
    <row r="7" spans="1:16" x14ac:dyDescent="0.25">
      <c r="A7" t="s">
        <v>12</v>
      </c>
      <c r="B7">
        <v>4171.33</v>
      </c>
      <c r="C7">
        <v>4195.55</v>
      </c>
      <c r="D7">
        <v>4153.12</v>
      </c>
      <c r="E7">
        <v>4193.8</v>
      </c>
      <c r="F7">
        <v>4193.8</v>
      </c>
      <c r="G7">
        <v>4249470000</v>
      </c>
      <c r="H7" s="1">
        <f t="shared" si="0"/>
        <v>-44.059999999999491</v>
      </c>
      <c r="I7" s="3">
        <f t="shared" si="1"/>
        <v>-1.0396756853694906E-2</v>
      </c>
      <c r="N7" s="5" t="s">
        <v>268</v>
      </c>
      <c r="O7" s="6">
        <f t="shared" ca="1" si="2"/>
        <v>-7.4402704266259825E-3</v>
      </c>
      <c r="P7" s="6">
        <f t="shared" ca="1" si="3"/>
        <v>-8.1357426314011706E-3</v>
      </c>
    </row>
    <row r="8" spans="1:16" x14ac:dyDescent="0.25">
      <c r="A8" t="s">
        <v>13</v>
      </c>
      <c r="B8">
        <v>4139.3900000000003</v>
      </c>
      <c r="C8">
        <v>4177.47</v>
      </c>
      <c r="D8">
        <v>4132.9399999999996</v>
      </c>
      <c r="E8">
        <v>4166.82</v>
      </c>
      <c r="F8">
        <v>4166.82</v>
      </c>
      <c r="G8">
        <v>3911140000</v>
      </c>
      <c r="H8" s="1">
        <f t="shared" si="0"/>
        <v>-26.980000000000473</v>
      </c>
      <c r="I8" s="3">
        <f t="shared" si="1"/>
        <v>-6.4333063093138616E-3</v>
      </c>
      <c r="N8" s="5" t="s">
        <v>269</v>
      </c>
      <c r="O8" s="6">
        <f t="shared" ca="1" si="2"/>
        <v>7.9683931559360759E-4</v>
      </c>
      <c r="P8" s="6">
        <f t="shared" ca="1" si="3"/>
        <v>-7.3389033158075632E-3</v>
      </c>
    </row>
    <row r="9" spans="1:16" x14ac:dyDescent="0.25">
      <c r="A9" t="s">
        <v>14</v>
      </c>
      <c r="B9">
        <v>4152.93</v>
      </c>
      <c r="C9">
        <v>4156.7</v>
      </c>
      <c r="D9">
        <v>4103.78</v>
      </c>
      <c r="E9">
        <v>4117.37</v>
      </c>
      <c r="F9">
        <v>4117.37</v>
      </c>
      <c r="G9">
        <v>4019500000</v>
      </c>
      <c r="H9" s="1">
        <f t="shared" si="0"/>
        <v>-49.449999999999818</v>
      </c>
      <c r="I9" s="3">
        <f t="shared" si="1"/>
        <v>-1.1867563273671486E-2</v>
      </c>
    </row>
    <row r="10" spans="1:16" x14ac:dyDescent="0.25">
      <c r="A10" t="s">
        <v>15</v>
      </c>
      <c r="B10">
        <v>4175.99</v>
      </c>
      <c r="C10">
        <v>4183.6000000000004</v>
      </c>
      <c r="D10">
        <v>4127.8999999999996</v>
      </c>
      <c r="E10">
        <v>4137.2299999999996</v>
      </c>
      <c r="F10">
        <v>4137.2299999999996</v>
      </c>
      <c r="G10">
        <v>4277640000</v>
      </c>
      <c r="H10" s="1">
        <f t="shared" si="0"/>
        <v>19.859999999999673</v>
      </c>
      <c r="I10" s="3">
        <f t="shared" si="1"/>
        <v>4.8234674075926312E-3</v>
      </c>
    </row>
    <row r="11" spans="1:16" x14ac:dyDescent="0.25">
      <c r="A11" t="s">
        <v>16</v>
      </c>
      <c r="B11">
        <v>4232.42</v>
      </c>
      <c r="C11">
        <v>4232.42</v>
      </c>
      <c r="D11">
        <v>4181.42</v>
      </c>
      <c r="E11">
        <v>4186.7700000000004</v>
      </c>
      <c r="F11">
        <v>4186.7700000000004</v>
      </c>
      <c r="G11">
        <v>3869370000</v>
      </c>
      <c r="H11" s="1">
        <f t="shared" si="0"/>
        <v>49.540000000000873</v>
      </c>
      <c r="I11" s="3">
        <f t="shared" si="1"/>
        <v>1.197419529491976E-2</v>
      </c>
    </row>
    <row r="12" spans="1:16" x14ac:dyDescent="0.25">
      <c r="A12" t="s">
        <v>17</v>
      </c>
      <c r="B12">
        <v>4235.79</v>
      </c>
      <c r="C12">
        <v>4259.38</v>
      </c>
      <c r="D12">
        <v>4219.43</v>
      </c>
      <c r="E12">
        <v>4247.68</v>
      </c>
      <c r="F12">
        <v>4247.68</v>
      </c>
      <c r="G12">
        <v>3821820000</v>
      </c>
      <c r="H12" s="1">
        <f t="shared" si="0"/>
        <v>60.909999999999854</v>
      </c>
      <c r="I12" s="3">
        <f t="shared" si="1"/>
        <v>1.4548207806972881E-2</v>
      </c>
    </row>
    <row r="13" spans="1:16" x14ac:dyDescent="0.25">
      <c r="A13" t="s">
        <v>18</v>
      </c>
      <c r="B13">
        <v>4210.3999999999996</v>
      </c>
      <c r="C13">
        <v>4255.84</v>
      </c>
      <c r="D13">
        <v>4189.22</v>
      </c>
      <c r="E13">
        <v>4217.04</v>
      </c>
      <c r="F13">
        <v>4217.04</v>
      </c>
      <c r="G13">
        <v>3776100000</v>
      </c>
      <c r="H13" s="1">
        <f t="shared" si="0"/>
        <v>-30.640000000000327</v>
      </c>
      <c r="I13" s="3">
        <f t="shared" si="1"/>
        <v>-7.2133494048516661E-3</v>
      </c>
    </row>
    <row r="14" spans="1:16" x14ac:dyDescent="0.25">
      <c r="A14" t="s">
        <v>19</v>
      </c>
      <c r="B14">
        <v>4273.8500000000004</v>
      </c>
      <c r="C14">
        <v>4276.5600000000004</v>
      </c>
      <c r="D14">
        <v>4223.03</v>
      </c>
      <c r="E14">
        <v>4224.16</v>
      </c>
      <c r="F14">
        <v>4224.16</v>
      </c>
      <c r="G14">
        <v>4004030000</v>
      </c>
      <c r="H14" s="1">
        <f t="shared" si="0"/>
        <v>7.1199999999998909</v>
      </c>
      <c r="I14" s="3">
        <f t="shared" si="1"/>
        <v>1.6883880636654836E-3</v>
      </c>
    </row>
    <row r="15" spans="1:16" x14ac:dyDescent="0.25">
      <c r="A15" t="s">
        <v>20</v>
      </c>
      <c r="B15">
        <v>4321.3599999999997</v>
      </c>
      <c r="C15">
        <v>4339.54</v>
      </c>
      <c r="D15">
        <v>4269.6899999999996</v>
      </c>
      <c r="E15">
        <v>4278</v>
      </c>
      <c r="F15">
        <v>4278</v>
      </c>
      <c r="G15">
        <v>3969730000</v>
      </c>
      <c r="H15" s="1">
        <f t="shared" si="0"/>
        <v>53.840000000000146</v>
      </c>
      <c r="I15" s="3">
        <f t="shared" si="1"/>
        <v>1.2745729328434563E-2</v>
      </c>
    </row>
    <row r="16" spans="1:16" x14ac:dyDescent="0.25">
      <c r="A16" t="s">
        <v>21</v>
      </c>
      <c r="B16">
        <v>4357.3500000000004</v>
      </c>
      <c r="C16">
        <v>4364.2</v>
      </c>
      <c r="D16">
        <v>4303.84</v>
      </c>
      <c r="E16">
        <v>4314.6000000000004</v>
      </c>
      <c r="F16">
        <v>4314.6000000000004</v>
      </c>
      <c r="G16">
        <v>3686030000</v>
      </c>
      <c r="H16" s="1">
        <f t="shared" si="0"/>
        <v>36.600000000000364</v>
      </c>
      <c r="I16" s="3">
        <f t="shared" si="1"/>
        <v>8.555399719495177E-3</v>
      </c>
    </row>
    <row r="17" spans="1:11" x14ac:dyDescent="0.25">
      <c r="A17" t="s">
        <v>22</v>
      </c>
      <c r="B17">
        <v>4345.2299999999996</v>
      </c>
      <c r="C17">
        <v>4393.57</v>
      </c>
      <c r="D17">
        <v>4337.54</v>
      </c>
      <c r="E17">
        <v>4373.2</v>
      </c>
      <c r="F17">
        <v>4373.2</v>
      </c>
      <c r="G17">
        <v>3794850000</v>
      </c>
      <c r="H17" s="1">
        <f t="shared" si="0"/>
        <v>58.599999999999454</v>
      </c>
      <c r="I17" s="3">
        <f t="shared" si="1"/>
        <v>1.3581792054883291E-2</v>
      </c>
    </row>
    <row r="18" spans="1:11" x14ac:dyDescent="0.25">
      <c r="A18" t="s">
        <v>23</v>
      </c>
      <c r="B18">
        <v>4342.37</v>
      </c>
      <c r="C18">
        <v>4383.33</v>
      </c>
      <c r="D18">
        <v>4342.37</v>
      </c>
      <c r="E18">
        <v>4373.63</v>
      </c>
      <c r="F18">
        <v>4373.63</v>
      </c>
      <c r="G18">
        <v>3409960000</v>
      </c>
      <c r="H18" s="1">
        <f t="shared" si="0"/>
        <v>0.43000000000029104</v>
      </c>
      <c r="I18" s="3">
        <f t="shared" si="1"/>
        <v>9.8326168480812913E-5</v>
      </c>
    </row>
    <row r="19" spans="1:11" x14ac:dyDescent="0.25">
      <c r="A19" t="s">
        <v>24</v>
      </c>
      <c r="B19">
        <v>4360.49</v>
      </c>
      <c r="C19">
        <v>4377.1000000000004</v>
      </c>
      <c r="D19">
        <v>4311.97</v>
      </c>
      <c r="E19">
        <v>4327.78</v>
      </c>
      <c r="F19">
        <v>4327.78</v>
      </c>
      <c r="G19" t="s">
        <v>25</v>
      </c>
      <c r="H19" s="1">
        <f t="shared" si="0"/>
        <v>-45.850000000000364</v>
      </c>
      <c r="I19" s="3">
        <f t="shared" si="1"/>
        <v>-1.0483282765117388E-2</v>
      </c>
    </row>
    <row r="20" spans="1:11" x14ac:dyDescent="0.25">
      <c r="A20" t="s">
        <v>26</v>
      </c>
      <c r="B20">
        <v>4380.9399999999996</v>
      </c>
      <c r="C20">
        <v>4385.8500000000004</v>
      </c>
      <c r="D20">
        <v>4325.43</v>
      </c>
      <c r="E20">
        <v>4349.6099999999997</v>
      </c>
      <c r="F20">
        <v>4349.6099999999997</v>
      </c>
      <c r="G20">
        <v>3713140000</v>
      </c>
      <c r="H20" s="1">
        <f t="shared" si="0"/>
        <v>21.829999999999927</v>
      </c>
      <c r="I20" s="3">
        <f t="shared" si="1"/>
        <v>5.0441565883663055E-3</v>
      </c>
    </row>
    <row r="21" spans="1:11" x14ac:dyDescent="0.25">
      <c r="A21" t="s">
        <v>27</v>
      </c>
      <c r="B21">
        <v>4366.59</v>
      </c>
      <c r="C21">
        <v>4378.6400000000003</v>
      </c>
      <c r="D21">
        <v>4345.34</v>
      </c>
      <c r="E21">
        <v>4376.95</v>
      </c>
      <c r="F21">
        <v>4376.95</v>
      </c>
      <c r="G21">
        <v>3601660000</v>
      </c>
      <c r="H21" s="1">
        <f t="shared" si="0"/>
        <v>27.340000000000146</v>
      </c>
      <c r="I21" s="3">
        <f t="shared" si="1"/>
        <v>6.2856210096997539E-3</v>
      </c>
    </row>
    <row r="22" spans="1:11" x14ac:dyDescent="0.25">
      <c r="A22" t="s">
        <v>28</v>
      </c>
      <c r="B22">
        <v>4339.75</v>
      </c>
      <c r="C22">
        <v>4385.46</v>
      </c>
      <c r="D22">
        <v>4339.6400000000003</v>
      </c>
      <c r="E22">
        <v>4358.24</v>
      </c>
      <c r="F22">
        <v>4358.24</v>
      </c>
      <c r="G22">
        <v>3520240000</v>
      </c>
      <c r="H22" s="1">
        <f t="shared" si="0"/>
        <v>-18.710000000000036</v>
      </c>
      <c r="I22" s="3">
        <f t="shared" si="1"/>
        <v>-4.2746661488022569E-3</v>
      </c>
    </row>
    <row r="23" spans="1:11" x14ac:dyDescent="0.25">
      <c r="A23" t="s">
        <v>29</v>
      </c>
      <c r="B23">
        <v>4289.0200000000004</v>
      </c>
      <c r="C23">
        <v>4341.7299999999996</v>
      </c>
      <c r="D23">
        <v>4283.79</v>
      </c>
      <c r="E23">
        <v>4335.66</v>
      </c>
      <c r="F23">
        <v>4335.66</v>
      </c>
      <c r="G23">
        <v>3174630000</v>
      </c>
      <c r="H23" s="1">
        <f t="shared" si="0"/>
        <v>-22.579999999999927</v>
      </c>
      <c r="I23" s="3">
        <f t="shared" si="1"/>
        <v>-5.1809904915745639E-3</v>
      </c>
    </row>
    <row r="24" spans="1:11" x14ac:dyDescent="0.25">
      <c r="A24" t="s">
        <v>30</v>
      </c>
      <c r="B24">
        <v>4234.79</v>
      </c>
      <c r="C24">
        <v>4324.1000000000004</v>
      </c>
      <c r="D24">
        <v>4219.55</v>
      </c>
      <c r="E24">
        <v>4308.5</v>
      </c>
      <c r="F24">
        <v>4308.5</v>
      </c>
      <c r="G24">
        <v>3902030000</v>
      </c>
      <c r="H24" s="1">
        <f t="shared" si="0"/>
        <v>-27.159999999999854</v>
      </c>
      <c r="I24" s="3">
        <f t="shared" si="1"/>
        <v>-6.2643288449739732E-3</v>
      </c>
    </row>
    <row r="25" spans="1:11" x14ac:dyDescent="0.25">
      <c r="A25" t="s">
        <v>31</v>
      </c>
      <c r="B25">
        <v>4259.3100000000004</v>
      </c>
      <c r="C25">
        <v>4267.13</v>
      </c>
      <c r="D25">
        <v>4225.91</v>
      </c>
      <c r="E25">
        <v>4258.1899999999996</v>
      </c>
      <c r="F25">
        <v>4258.1899999999996</v>
      </c>
      <c r="G25">
        <v>3581470000</v>
      </c>
      <c r="H25" s="1">
        <f t="shared" si="0"/>
        <v>-50.3100000000004</v>
      </c>
      <c r="I25" s="3">
        <f t="shared" si="1"/>
        <v>-1.1676917720784588E-2</v>
      </c>
    </row>
    <row r="26" spans="1:11" x14ac:dyDescent="0.25">
      <c r="A26" t="s">
        <v>32</v>
      </c>
      <c r="B26">
        <v>4233.83</v>
      </c>
      <c r="C26">
        <v>4268.5</v>
      </c>
      <c r="D26">
        <v>4220.4799999999996</v>
      </c>
      <c r="E26">
        <v>4263.75</v>
      </c>
      <c r="F26">
        <v>4263.75</v>
      </c>
      <c r="G26">
        <v>3777600000</v>
      </c>
      <c r="H26" s="1">
        <f t="shared" si="0"/>
        <v>5.5600000000004002</v>
      </c>
      <c r="I26" s="3">
        <f t="shared" si="1"/>
        <v>1.3057190966115652E-3</v>
      </c>
    </row>
    <row r="27" spans="1:11" x14ac:dyDescent="0.25">
      <c r="A27" t="s">
        <v>33</v>
      </c>
      <c r="B27">
        <v>4269.75</v>
      </c>
      <c r="C27">
        <v>4281.1499999999996</v>
      </c>
      <c r="D27">
        <v>4216.45</v>
      </c>
      <c r="E27">
        <v>4229.45</v>
      </c>
      <c r="F27">
        <v>4229.45</v>
      </c>
      <c r="G27">
        <v>3953830000</v>
      </c>
      <c r="H27" s="1">
        <f t="shared" si="0"/>
        <v>-34.300000000000182</v>
      </c>
      <c r="I27" s="3">
        <f t="shared" si="1"/>
        <v>-8.0445617121079286E-3</v>
      </c>
    </row>
    <row r="28" spans="1:11" x14ac:dyDescent="0.25">
      <c r="A28" t="s">
        <v>34</v>
      </c>
      <c r="B28">
        <v>4284.5200000000004</v>
      </c>
      <c r="C28">
        <v>4300.58</v>
      </c>
      <c r="D28">
        <v>4260.21</v>
      </c>
      <c r="E28">
        <v>4288.3900000000003</v>
      </c>
      <c r="F28">
        <v>4288.3900000000003</v>
      </c>
      <c r="G28">
        <v>3938660000</v>
      </c>
      <c r="H28" s="1">
        <f t="shared" si="0"/>
        <v>58.940000000000509</v>
      </c>
      <c r="I28" s="3">
        <f t="shared" si="1"/>
        <v>1.3935618106373291E-2</v>
      </c>
    </row>
    <row r="29" spans="1:11" x14ac:dyDescent="0.25">
      <c r="A29" t="s">
        <v>35</v>
      </c>
      <c r="B29">
        <v>4328.18</v>
      </c>
      <c r="C29">
        <v>4333.1499999999996</v>
      </c>
      <c r="D29">
        <v>4274.8599999999997</v>
      </c>
      <c r="E29">
        <v>4288.05</v>
      </c>
      <c r="F29">
        <v>4288.05</v>
      </c>
      <c r="G29">
        <v>3865960000</v>
      </c>
      <c r="H29" s="1">
        <f t="shared" si="0"/>
        <v>-0.34000000000014552</v>
      </c>
      <c r="I29" s="3">
        <f t="shared" si="1"/>
        <v>-7.9283833793135765E-5</v>
      </c>
    </row>
    <row r="30" spans="1:11" x14ac:dyDescent="0.25">
      <c r="A30" t="s">
        <v>36</v>
      </c>
      <c r="B30">
        <v>4269.6499999999996</v>
      </c>
      <c r="C30">
        <v>4317.2700000000004</v>
      </c>
      <c r="D30">
        <v>4264.38</v>
      </c>
      <c r="E30">
        <v>4299.7</v>
      </c>
      <c r="F30">
        <v>4299.7</v>
      </c>
      <c r="G30">
        <v>3846230000</v>
      </c>
      <c r="H30" s="1">
        <f t="shared" si="0"/>
        <v>11.649999999999636</v>
      </c>
      <c r="I30" s="3">
        <f t="shared" si="1"/>
        <v>2.7168526486397396E-3</v>
      </c>
    </row>
    <row r="31" spans="1:11" x14ac:dyDescent="0.25">
      <c r="A31" t="s">
        <v>37</v>
      </c>
      <c r="B31">
        <v>4282.63</v>
      </c>
      <c r="C31">
        <v>4292.07</v>
      </c>
      <c r="D31">
        <v>4238.63</v>
      </c>
      <c r="E31">
        <v>4274.51</v>
      </c>
      <c r="F31">
        <v>4274.51</v>
      </c>
      <c r="G31">
        <v>3875880000</v>
      </c>
      <c r="H31" s="1">
        <f t="shared" si="0"/>
        <v>-25.1899999999996</v>
      </c>
      <c r="I31" s="3">
        <f t="shared" si="1"/>
        <v>-5.8585482708094988E-3</v>
      </c>
    </row>
    <row r="32" spans="1:11" x14ac:dyDescent="0.25">
      <c r="A32" t="s">
        <v>38</v>
      </c>
      <c r="B32">
        <v>4312.88</v>
      </c>
      <c r="C32">
        <v>4313.01</v>
      </c>
      <c r="D32">
        <v>4265.9799999999996</v>
      </c>
      <c r="E32">
        <v>4273.53</v>
      </c>
      <c r="F32">
        <v>4273.53</v>
      </c>
      <c r="G32">
        <v>3472340000</v>
      </c>
      <c r="H32" s="1">
        <f t="shared" si="0"/>
        <v>-0.98000000000047294</v>
      </c>
      <c r="I32" s="3">
        <f t="shared" si="1"/>
        <v>-2.2926604452919115E-4</v>
      </c>
    </row>
    <row r="33" spans="1:9" x14ac:dyDescent="0.25">
      <c r="A33" t="s">
        <v>39</v>
      </c>
      <c r="B33">
        <v>4310.62</v>
      </c>
      <c r="C33">
        <v>4338.51</v>
      </c>
      <c r="D33">
        <v>4302.7</v>
      </c>
      <c r="E33">
        <v>4337.4399999999996</v>
      </c>
      <c r="F33">
        <v>4337.4399999999996</v>
      </c>
      <c r="G33">
        <v>3195650000</v>
      </c>
      <c r="H33" s="1">
        <f t="shared" si="0"/>
        <v>63.909999999999854</v>
      </c>
      <c r="I33" s="3">
        <f t="shared" si="1"/>
        <v>1.4954849971803137E-2</v>
      </c>
    </row>
    <row r="34" spans="1:9" x14ac:dyDescent="0.25">
      <c r="A34" t="s">
        <v>40</v>
      </c>
      <c r="B34">
        <v>4341.74</v>
      </c>
      <c r="C34">
        <v>4357.3999999999996</v>
      </c>
      <c r="D34">
        <v>4316.49</v>
      </c>
      <c r="E34">
        <v>4320.0600000000004</v>
      </c>
      <c r="F34">
        <v>4320.0600000000004</v>
      </c>
      <c r="G34">
        <v>3349570000</v>
      </c>
      <c r="H34" s="1">
        <f t="shared" si="0"/>
        <v>-17.3799999999992</v>
      </c>
      <c r="I34" s="3">
        <f t="shared" si="1"/>
        <v>-4.0069718543655243E-3</v>
      </c>
    </row>
    <row r="35" spans="1:9" x14ac:dyDescent="0.25">
      <c r="A35" t="s">
        <v>41</v>
      </c>
      <c r="B35">
        <v>4374.3599999999997</v>
      </c>
      <c r="C35">
        <v>4375.7</v>
      </c>
      <c r="D35">
        <v>4329.17</v>
      </c>
      <c r="E35">
        <v>4330</v>
      </c>
      <c r="F35">
        <v>4330</v>
      </c>
      <c r="G35">
        <v>3662340000</v>
      </c>
      <c r="H35" s="1">
        <f t="shared" si="0"/>
        <v>9.9399999999995998</v>
      </c>
      <c r="I35" s="3">
        <f t="shared" si="1"/>
        <v>2.3008939690651515E-3</v>
      </c>
    </row>
    <row r="36" spans="1:9" x14ac:dyDescent="0.25">
      <c r="A36" t="s">
        <v>42</v>
      </c>
      <c r="B36">
        <v>4452.8100000000004</v>
      </c>
      <c r="C36">
        <v>4461.03</v>
      </c>
      <c r="D36">
        <v>4401.38</v>
      </c>
      <c r="E36">
        <v>4402.2</v>
      </c>
      <c r="F36">
        <v>4402.2</v>
      </c>
      <c r="G36">
        <v>3308450000</v>
      </c>
      <c r="H36" s="1">
        <f t="shared" si="0"/>
        <v>72.199999999999818</v>
      </c>
      <c r="I36" s="3">
        <f t="shared" si="1"/>
        <v>1.6674364896073861E-2</v>
      </c>
    </row>
    <row r="37" spans="1:9" x14ac:dyDescent="0.25">
      <c r="A37" t="s">
        <v>43</v>
      </c>
      <c r="B37">
        <v>4445.41</v>
      </c>
      <c r="C37">
        <v>4449.8500000000004</v>
      </c>
      <c r="D37">
        <v>4416.6099999999997</v>
      </c>
      <c r="E37">
        <v>4443.95</v>
      </c>
      <c r="F37">
        <v>4443.95</v>
      </c>
      <c r="G37">
        <v>3614880000</v>
      </c>
      <c r="H37" s="1">
        <f t="shared" si="0"/>
        <v>41.75</v>
      </c>
      <c r="I37" s="3">
        <f t="shared" si="1"/>
        <v>9.4838944164281503E-3</v>
      </c>
    </row>
    <row r="38" spans="1:9" x14ac:dyDescent="0.25">
      <c r="A38" t="s">
        <v>44</v>
      </c>
      <c r="B38">
        <v>4445.13</v>
      </c>
      <c r="C38">
        <v>4466.3599999999997</v>
      </c>
      <c r="D38">
        <v>4442.1099999999997</v>
      </c>
      <c r="E38">
        <v>4453.53</v>
      </c>
      <c r="F38">
        <v>4453.53</v>
      </c>
      <c r="G38">
        <v>3161230000</v>
      </c>
      <c r="H38" s="1">
        <f t="shared" si="0"/>
        <v>9.5799999999999272</v>
      </c>
      <c r="I38" s="3">
        <f t="shared" si="1"/>
        <v>2.1557398260556326E-3</v>
      </c>
    </row>
    <row r="39" spans="1:9" x14ac:dyDescent="0.25">
      <c r="A39" t="s">
        <v>45</v>
      </c>
      <c r="B39">
        <v>4497.9799999999996</v>
      </c>
      <c r="C39">
        <v>4497.9799999999996</v>
      </c>
      <c r="D39">
        <v>4447.21</v>
      </c>
      <c r="E39">
        <v>4450.32</v>
      </c>
      <c r="F39">
        <v>4450.32</v>
      </c>
      <c r="G39">
        <v>6932230000</v>
      </c>
      <c r="H39" s="1">
        <f t="shared" si="0"/>
        <v>-3.2100000000000364</v>
      </c>
      <c r="I39" s="3">
        <f t="shared" si="1"/>
        <v>-7.2077655253249373E-4</v>
      </c>
    </row>
    <row r="40" spans="1:9" x14ac:dyDescent="0.25">
      <c r="A40" t="s">
        <v>46</v>
      </c>
      <c r="B40">
        <v>4487.78</v>
      </c>
      <c r="C40">
        <v>4511.99</v>
      </c>
      <c r="D40">
        <v>4478.6899999999996</v>
      </c>
      <c r="E40">
        <v>4505.1000000000004</v>
      </c>
      <c r="F40">
        <v>4505.1000000000004</v>
      </c>
      <c r="G40">
        <v>3648720000</v>
      </c>
      <c r="H40" s="1">
        <f t="shared" si="0"/>
        <v>54.780000000000655</v>
      </c>
      <c r="I40" s="3">
        <f t="shared" si="1"/>
        <v>1.2309227201639581E-2</v>
      </c>
    </row>
    <row r="41" spans="1:9" x14ac:dyDescent="0.25">
      <c r="A41" t="s">
        <v>47</v>
      </c>
      <c r="B41">
        <v>4462.6499999999996</v>
      </c>
      <c r="C41">
        <v>4479.3900000000003</v>
      </c>
      <c r="D41">
        <v>4453.5200000000004</v>
      </c>
      <c r="E41">
        <v>4467.4399999999996</v>
      </c>
      <c r="F41">
        <v>4467.4399999999996</v>
      </c>
      <c r="G41">
        <v>3529430000</v>
      </c>
      <c r="H41" s="1">
        <f t="shared" si="0"/>
        <v>-37.660000000000764</v>
      </c>
      <c r="I41" s="3">
        <f t="shared" si="1"/>
        <v>-8.3594148853523252E-3</v>
      </c>
    </row>
    <row r="42" spans="1:9" x14ac:dyDescent="0.25">
      <c r="A42" t="s">
        <v>48</v>
      </c>
      <c r="B42">
        <v>4473.2700000000004</v>
      </c>
      <c r="C42">
        <v>4487.1099999999997</v>
      </c>
      <c r="D42">
        <v>4456.83</v>
      </c>
      <c r="E42">
        <v>4461.8999999999996</v>
      </c>
      <c r="F42">
        <v>4461.8999999999996</v>
      </c>
      <c r="G42">
        <v>3435740000</v>
      </c>
      <c r="H42" s="1">
        <f t="shared" si="0"/>
        <v>-5.5399999999999636</v>
      </c>
      <c r="I42" s="3">
        <f t="shared" si="1"/>
        <v>-1.2400838063857521E-3</v>
      </c>
    </row>
    <row r="43" spans="1:9" x14ac:dyDescent="0.25">
      <c r="A43" t="s">
        <v>49</v>
      </c>
      <c r="B43">
        <v>4480.9799999999996</v>
      </c>
      <c r="C43">
        <v>4490.7700000000004</v>
      </c>
      <c r="D43">
        <v>4467.8900000000003</v>
      </c>
      <c r="E43">
        <v>4487.46</v>
      </c>
      <c r="F43">
        <v>4487.46</v>
      </c>
      <c r="G43">
        <v>3369920000</v>
      </c>
      <c r="H43" s="1">
        <f t="shared" si="0"/>
        <v>25.5600000000004</v>
      </c>
      <c r="I43" s="3">
        <f t="shared" si="1"/>
        <v>5.7285013111007419E-3</v>
      </c>
    </row>
    <row r="44" spans="1:9" x14ac:dyDescent="0.25">
      <c r="A44" t="s">
        <v>50</v>
      </c>
      <c r="B44">
        <v>4451.3</v>
      </c>
      <c r="C44">
        <v>4473.53</v>
      </c>
      <c r="D44">
        <v>4448.38</v>
      </c>
      <c r="E44">
        <v>4457.49</v>
      </c>
      <c r="F44">
        <v>4457.49</v>
      </c>
      <c r="G44">
        <v>3259290000</v>
      </c>
      <c r="H44" s="1">
        <f t="shared" si="0"/>
        <v>-29.970000000000255</v>
      </c>
      <c r="I44" s="3">
        <f t="shared" si="1"/>
        <v>-6.6786110628284717E-3</v>
      </c>
    </row>
    <row r="45" spans="1:9" x14ac:dyDescent="0.25">
      <c r="A45" t="s">
        <v>51</v>
      </c>
      <c r="B45">
        <v>4434.55</v>
      </c>
      <c r="C45">
        <v>4457.8100000000004</v>
      </c>
      <c r="D45">
        <v>4430.46</v>
      </c>
      <c r="E45">
        <v>4451.1400000000003</v>
      </c>
      <c r="F45">
        <v>4451.1400000000003</v>
      </c>
      <c r="G45">
        <v>3763760000</v>
      </c>
      <c r="H45" s="1">
        <f t="shared" si="0"/>
        <v>-6.3499999999994543</v>
      </c>
      <c r="I45" s="3">
        <f t="shared" si="1"/>
        <v>-1.4245685352069111E-3</v>
      </c>
    </row>
    <row r="46" spans="1:9" x14ac:dyDescent="0.25">
      <c r="A46" t="s">
        <v>52</v>
      </c>
      <c r="B46">
        <v>4490.3500000000004</v>
      </c>
      <c r="C46">
        <v>4490.3500000000004</v>
      </c>
      <c r="D46">
        <v>4442.38</v>
      </c>
      <c r="E46">
        <v>4465.4799999999996</v>
      </c>
      <c r="F46">
        <v>4465.4799999999996</v>
      </c>
      <c r="G46">
        <v>3418850000</v>
      </c>
      <c r="H46" s="1">
        <f t="shared" si="0"/>
        <v>14.339999999999236</v>
      </c>
      <c r="I46" s="3">
        <f t="shared" si="1"/>
        <v>3.2216465894128773E-3</v>
      </c>
    </row>
    <row r="47" spans="1:9" x14ac:dyDescent="0.25">
      <c r="A47" t="s">
        <v>53</v>
      </c>
      <c r="B47">
        <v>4510.0600000000004</v>
      </c>
      <c r="C47">
        <v>4514.29</v>
      </c>
      <c r="D47">
        <v>4496.01</v>
      </c>
      <c r="E47">
        <v>4496.83</v>
      </c>
      <c r="F47">
        <v>4496.83</v>
      </c>
      <c r="G47">
        <v>3526250000</v>
      </c>
      <c r="H47" s="1">
        <f t="shared" si="0"/>
        <v>31.350000000000364</v>
      </c>
      <c r="I47" s="3">
        <f t="shared" si="1"/>
        <v>7.0205218699894226E-3</v>
      </c>
    </row>
    <row r="48" spans="1:9" x14ac:dyDescent="0.25">
      <c r="A48" t="s">
        <v>54</v>
      </c>
      <c r="B48">
        <v>4530.6000000000004</v>
      </c>
      <c r="C48">
        <v>4541.25</v>
      </c>
      <c r="D48">
        <v>4501.3500000000004</v>
      </c>
      <c r="E48">
        <v>4515.7700000000004</v>
      </c>
      <c r="F48">
        <v>4515.7700000000004</v>
      </c>
      <c r="G48">
        <v>3246260000</v>
      </c>
      <c r="H48" s="1">
        <f t="shared" si="0"/>
        <v>18.940000000000509</v>
      </c>
      <c r="I48" s="3">
        <f t="shared" si="1"/>
        <v>4.2118559073837589E-3</v>
      </c>
    </row>
    <row r="49" spans="1:9" x14ac:dyDescent="0.25">
      <c r="A49" t="s">
        <v>55</v>
      </c>
      <c r="B49">
        <v>4517.01</v>
      </c>
      <c r="C49">
        <v>4532.26</v>
      </c>
      <c r="D49">
        <v>4507.3900000000003</v>
      </c>
      <c r="E49">
        <v>4507.66</v>
      </c>
      <c r="F49">
        <v>4507.66</v>
      </c>
      <c r="G49">
        <v>3946360000</v>
      </c>
      <c r="H49" s="1">
        <f t="shared" si="0"/>
        <v>-8.1100000000005821</v>
      </c>
      <c r="I49" s="3">
        <f t="shared" si="1"/>
        <v>-1.7959284906008458E-3</v>
      </c>
    </row>
    <row r="50" spans="1:9" x14ac:dyDescent="0.25">
      <c r="A50" t="s">
        <v>56</v>
      </c>
      <c r="B50">
        <v>4500.34</v>
      </c>
      <c r="C50">
        <v>4521.6499999999996</v>
      </c>
      <c r="D50">
        <v>4493.59</v>
      </c>
      <c r="E50">
        <v>4514.87</v>
      </c>
      <c r="F50">
        <v>4514.87</v>
      </c>
      <c r="G50">
        <v>3064110000</v>
      </c>
      <c r="H50" s="1">
        <f t="shared" si="0"/>
        <v>7.2100000000000364</v>
      </c>
      <c r="I50" s="3">
        <f t="shared" si="1"/>
        <v>1.5994995185972403E-3</v>
      </c>
    </row>
    <row r="51" spans="1:9" x14ac:dyDescent="0.25">
      <c r="A51" t="s">
        <v>57</v>
      </c>
      <c r="B51">
        <v>4432.75</v>
      </c>
      <c r="C51">
        <v>4500.1400000000003</v>
      </c>
      <c r="D51">
        <v>4431.68</v>
      </c>
      <c r="E51">
        <v>4497.63</v>
      </c>
      <c r="F51">
        <v>4497.63</v>
      </c>
      <c r="G51">
        <v>3354820000</v>
      </c>
      <c r="H51" s="1">
        <f t="shared" si="0"/>
        <v>-17.239999999999782</v>
      </c>
      <c r="I51" s="3">
        <f t="shared" si="1"/>
        <v>-3.8184931127584584E-3</v>
      </c>
    </row>
    <row r="52" spans="1:9" x14ac:dyDescent="0.25">
      <c r="A52" t="s">
        <v>58</v>
      </c>
      <c r="B52">
        <v>4426.03</v>
      </c>
      <c r="C52">
        <v>4439.5600000000004</v>
      </c>
      <c r="D52">
        <v>4414.9799999999996</v>
      </c>
      <c r="E52">
        <v>4433.3100000000004</v>
      </c>
      <c r="F52">
        <v>4433.3100000000004</v>
      </c>
      <c r="G52">
        <v>2957230000</v>
      </c>
      <c r="H52" s="1">
        <f t="shared" si="0"/>
        <v>-64.319999999999709</v>
      </c>
      <c r="I52" s="3">
        <f t="shared" si="1"/>
        <v>-1.4300865122297678E-2</v>
      </c>
    </row>
    <row r="53" spans="1:9" x14ac:dyDescent="0.25">
      <c r="A53" t="s">
        <v>59</v>
      </c>
      <c r="B53">
        <v>4389.38</v>
      </c>
      <c r="C53">
        <v>4418.46</v>
      </c>
      <c r="D53">
        <v>4356.29</v>
      </c>
      <c r="E53">
        <v>4405.71</v>
      </c>
      <c r="F53">
        <v>4405.71</v>
      </c>
      <c r="G53">
        <v>3296180000</v>
      </c>
      <c r="H53" s="1">
        <f t="shared" si="0"/>
        <v>-27.600000000000364</v>
      </c>
      <c r="I53" s="3">
        <f t="shared" si="1"/>
        <v>-6.2255966760728131E-3</v>
      </c>
    </row>
    <row r="54" spans="1:9" x14ac:dyDescent="0.25">
      <c r="A54" t="s">
        <v>60</v>
      </c>
      <c r="B54">
        <v>4455.16</v>
      </c>
      <c r="C54">
        <v>4458.3</v>
      </c>
      <c r="D54">
        <v>4375.55</v>
      </c>
      <c r="E54">
        <v>4376.3100000000004</v>
      </c>
      <c r="F54">
        <v>4376.3100000000004</v>
      </c>
      <c r="G54">
        <v>3723470000</v>
      </c>
      <c r="H54" s="1">
        <f t="shared" si="0"/>
        <v>-29.399999999999636</v>
      </c>
      <c r="I54" s="3">
        <f t="shared" si="1"/>
        <v>-6.6731582423717488E-3</v>
      </c>
    </row>
    <row r="55" spans="1:9" x14ac:dyDescent="0.25">
      <c r="A55" t="s">
        <v>61</v>
      </c>
      <c r="B55">
        <v>4396.4399999999996</v>
      </c>
      <c r="C55">
        <v>4443.18</v>
      </c>
      <c r="D55">
        <v>4396.4399999999996</v>
      </c>
      <c r="E55">
        <v>4436.01</v>
      </c>
      <c r="F55">
        <v>4436.01</v>
      </c>
      <c r="G55">
        <v>3837270000</v>
      </c>
      <c r="H55" s="1">
        <f t="shared" si="0"/>
        <v>59.699999999999818</v>
      </c>
      <c r="I55" s="3">
        <f t="shared" si="1"/>
        <v>1.3641629592053537E-2</v>
      </c>
    </row>
    <row r="56" spans="1:9" x14ac:dyDescent="0.25">
      <c r="A56" t="s">
        <v>62</v>
      </c>
      <c r="B56">
        <v>4415.33</v>
      </c>
      <c r="C56">
        <v>4418.59</v>
      </c>
      <c r="D56">
        <v>4382.7700000000004</v>
      </c>
      <c r="E56">
        <v>4387.55</v>
      </c>
      <c r="F56">
        <v>4387.55</v>
      </c>
      <c r="G56">
        <v>3522760000</v>
      </c>
      <c r="H56" s="1">
        <f t="shared" si="0"/>
        <v>-48.460000000000036</v>
      </c>
      <c r="I56" s="3">
        <f t="shared" si="1"/>
        <v>-1.0924231460253704E-2</v>
      </c>
    </row>
    <row r="57" spans="1:9" x14ac:dyDescent="0.25">
      <c r="A57" t="s">
        <v>63</v>
      </c>
      <c r="B57">
        <v>4380.28</v>
      </c>
      <c r="C57">
        <v>4407.55</v>
      </c>
      <c r="D57">
        <v>4360.3</v>
      </c>
      <c r="E57">
        <v>4399.7700000000004</v>
      </c>
      <c r="F57">
        <v>4399.7700000000004</v>
      </c>
      <c r="G57">
        <v>3726850000</v>
      </c>
      <c r="H57" s="1">
        <f t="shared" si="0"/>
        <v>12.220000000000255</v>
      </c>
      <c r="I57" s="3">
        <f t="shared" si="1"/>
        <v>2.7851534455448379E-3</v>
      </c>
    </row>
    <row r="58" spans="1:9" x14ac:dyDescent="0.25">
      <c r="A58" t="s">
        <v>64</v>
      </c>
      <c r="B58">
        <v>4344.88</v>
      </c>
      <c r="C58">
        <v>4381.82</v>
      </c>
      <c r="D58">
        <v>4335.3100000000004</v>
      </c>
      <c r="E58">
        <v>4369.71</v>
      </c>
      <c r="F58">
        <v>4369.71</v>
      </c>
      <c r="G58">
        <v>3940400000</v>
      </c>
      <c r="H58" s="1">
        <f t="shared" si="0"/>
        <v>-30.0600000000004</v>
      </c>
      <c r="I58" s="3">
        <f t="shared" si="1"/>
        <v>-6.8321753182553624E-3</v>
      </c>
    </row>
    <row r="59" spans="1:9" x14ac:dyDescent="0.25">
      <c r="A59" t="s">
        <v>65</v>
      </c>
      <c r="B59">
        <v>4416.32</v>
      </c>
      <c r="C59">
        <v>4421.17</v>
      </c>
      <c r="D59">
        <v>4364.83</v>
      </c>
      <c r="E59">
        <v>4370.3599999999997</v>
      </c>
      <c r="F59">
        <v>4370.3599999999997</v>
      </c>
      <c r="G59">
        <v>3943700000</v>
      </c>
      <c r="H59" s="1">
        <f t="shared" si="0"/>
        <v>0.6499999999996362</v>
      </c>
      <c r="I59" s="3">
        <f t="shared" si="1"/>
        <v>1.4875129013129846E-4</v>
      </c>
    </row>
    <row r="60" spans="1:9" x14ac:dyDescent="0.25">
      <c r="A60" t="s">
        <v>66</v>
      </c>
      <c r="B60">
        <v>4433.79</v>
      </c>
      <c r="C60">
        <v>4449.95</v>
      </c>
      <c r="D60">
        <v>4403.55</v>
      </c>
      <c r="E60">
        <v>4404.33</v>
      </c>
      <c r="F60">
        <v>4404.33</v>
      </c>
      <c r="G60">
        <v>3753910000</v>
      </c>
      <c r="H60" s="1">
        <f t="shared" si="0"/>
        <v>33.970000000000255</v>
      </c>
      <c r="I60" s="3">
        <f t="shared" si="1"/>
        <v>7.7728150541374755E-3</v>
      </c>
    </row>
    <row r="61" spans="1:9" x14ac:dyDescent="0.25">
      <c r="A61" t="s">
        <v>67</v>
      </c>
      <c r="B61">
        <v>4478.87</v>
      </c>
      <c r="C61">
        <v>4478.87</v>
      </c>
      <c r="D61">
        <v>4432.1899999999996</v>
      </c>
      <c r="E61">
        <v>4437.8599999999997</v>
      </c>
      <c r="F61">
        <v>4437.8599999999997</v>
      </c>
      <c r="G61">
        <v>3832250000</v>
      </c>
      <c r="H61" s="1">
        <f t="shared" si="0"/>
        <v>33.529999999999745</v>
      </c>
      <c r="I61" s="3">
        <f t="shared" si="1"/>
        <v>7.6129626980720672E-3</v>
      </c>
    </row>
    <row r="62" spans="1:9" x14ac:dyDescent="0.25">
      <c r="A62" t="s">
        <v>68</v>
      </c>
      <c r="B62">
        <v>4458.13</v>
      </c>
      <c r="C62">
        <v>4490.33</v>
      </c>
      <c r="D62">
        <v>4453.4399999999996</v>
      </c>
      <c r="E62">
        <v>4489.72</v>
      </c>
      <c r="F62">
        <v>4489.72</v>
      </c>
      <c r="G62">
        <v>3896410000</v>
      </c>
      <c r="H62" s="1">
        <f t="shared" si="0"/>
        <v>51.860000000000582</v>
      </c>
      <c r="I62" s="3">
        <f t="shared" si="1"/>
        <v>1.1685812531265201E-2</v>
      </c>
    </row>
    <row r="63" spans="1:9" x14ac:dyDescent="0.25">
      <c r="A63" t="s">
        <v>69</v>
      </c>
      <c r="B63">
        <v>4450.6899999999996</v>
      </c>
      <c r="C63">
        <v>4476.2299999999996</v>
      </c>
      <c r="D63">
        <v>4443.9799999999996</v>
      </c>
      <c r="E63">
        <v>4464.05</v>
      </c>
      <c r="F63">
        <v>4464.05</v>
      </c>
      <c r="G63">
        <v>3753290000</v>
      </c>
      <c r="H63" s="1">
        <f t="shared" si="0"/>
        <v>-25.670000000000073</v>
      </c>
      <c r="I63" s="3">
        <f t="shared" si="1"/>
        <v>-5.7175057687339232E-3</v>
      </c>
    </row>
    <row r="64" spans="1:9" x14ac:dyDescent="0.25">
      <c r="A64" t="s">
        <v>70</v>
      </c>
      <c r="B64">
        <v>4487.16</v>
      </c>
      <c r="C64">
        <v>4527.37</v>
      </c>
      <c r="D64">
        <v>4457.92</v>
      </c>
      <c r="E64">
        <v>4468.83</v>
      </c>
      <c r="F64">
        <v>4468.83</v>
      </c>
      <c r="G64">
        <v>4504370000</v>
      </c>
      <c r="H64" s="1">
        <f t="shared" si="0"/>
        <v>4.7799999999997453</v>
      </c>
      <c r="I64" s="3">
        <f t="shared" si="1"/>
        <v>1.0707765370010966E-3</v>
      </c>
    </row>
    <row r="65" spans="1:9" x14ac:dyDescent="0.25">
      <c r="A65" t="s">
        <v>71</v>
      </c>
      <c r="B65">
        <v>4501.57</v>
      </c>
      <c r="C65">
        <v>4502.4399999999996</v>
      </c>
      <c r="D65">
        <v>4461.33</v>
      </c>
      <c r="E65">
        <v>4467.71</v>
      </c>
      <c r="F65">
        <v>4467.71</v>
      </c>
      <c r="G65">
        <v>3803100000</v>
      </c>
      <c r="H65" s="1">
        <f t="shared" si="0"/>
        <v>-1.1199999999998909</v>
      </c>
      <c r="I65" s="3">
        <f t="shared" si="1"/>
        <v>-2.506248839181376E-4</v>
      </c>
    </row>
    <row r="66" spans="1:9" x14ac:dyDescent="0.25">
      <c r="A66" t="s">
        <v>72</v>
      </c>
      <c r="B66">
        <v>4498.03</v>
      </c>
      <c r="C66">
        <v>4503.3100000000004</v>
      </c>
      <c r="D66">
        <v>4464.3900000000003</v>
      </c>
      <c r="E66">
        <v>4499.38</v>
      </c>
      <c r="F66">
        <v>4499.38</v>
      </c>
      <c r="G66">
        <v>3884910000</v>
      </c>
      <c r="H66" s="1">
        <f t="shared" si="0"/>
        <v>31.670000000000073</v>
      </c>
      <c r="I66" s="3">
        <f t="shared" si="1"/>
        <v>7.0886427274823279E-3</v>
      </c>
    </row>
    <row r="67" spans="1:9" x14ac:dyDescent="0.25">
      <c r="A67" t="s">
        <v>73</v>
      </c>
      <c r="B67">
        <v>4491.58</v>
      </c>
      <c r="C67">
        <v>4519.84</v>
      </c>
      <c r="D67">
        <v>4491.1499999999996</v>
      </c>
      <c r="E67">
        <v>4518.4399999999996</v>
      </c>
      <c r="F67">
        <v>4518.4399999999996</v>
      </c>
      <c r="G67">
        <v>3493920000</v>
      </c>
      <c r="H67" s="1">
        <f t="shared" si="0"/>
        <v>19.059999999999491</v>
      </c>
      <c r="I67" s="3">
        <f t="shared" si="1"/>
        <v>4.2361392014009687E-3</v>
      </c>
    </row>
    <row r="68" spans="1:9" x14ac:dyDescent="0.25">
      <c r="A68" t="s">
        <v>74</v>
      </c>
      <c r="B68">
        <v>4513.96</v>
      </c>
      <c r="C68">
        <v>4540.34</v>
      </c>
      <c r="D68">
        <v>4474.55</v>
      </c>
      <c r="E68">
        <v>4478.03</v>
      </c>
      <c r="F68">
        <v>4478.03</v>
      </c>
      <c r="G68">
        <v>4143310000</v>
      </c>
      <c r="H68" s="1">
        <f t="shared" ref="H68:H131" si="4">E68-E67</f>
        <v>-40.409999999999854</v>
      </c>
      <c r="I68" s="3">
        <f t="shared" ref="I68:I131" si="5">H68/E67</f>
        <v>-8.9433521303812508E-3</v>
      </c>
    </row>
    <row r="69" spans="1:9" x14ac:dyDescent="0.25">
      <c r="A69" t="s">
        <v>75</v>
      </c>
      <c r="B69">
        <v>4494.2700000000004</v>
      </c>
      <c r="C69">
        <v>4519.49</v>
      </c>
      <c r="D69">
        <v>4485.54</v>
      </c>
      <c r="E69">
        <v>4501.8900000000003</v>
      </c>
      <c r="F69">
        <v>4501.8900000000003</v>
      </c>
      <c r="G69">
        <v>4149120000</v>
      </c>
      <c r="H69" s="1">
        <f t="shared" si="4"/>
        <v>23.860000000000582</v>
      </c>
      <c r="I69" s="3">
        <f t="shared" si="5"/>
        <v>5.3282358537125891E-3</v>
      </c>
    </row>
    <row r="70" spans="1:9" x14ac:dyDescent="0.25">
      <c r="A70" t="s">
        <v>76</v>
      </c>
      <c r="B70">
        <v>4550.93</v>
      </c>
      <c r="C70">
        <v>4550.93</v>
      </c>
      <c r="D70">
        <v>4505.75</v>
      </c>
      <c r="E70">
        <v>4513.3900000000003</v>
      </c>
      <c r="F70">
        <v>4513.3900000000003</v>
      </c>
      <c r="G70">
        <v>4270710000</v>
      </c>
      <c r="H70" s="1">
        <f t="shared" si="4"/>
        <v>11.5</v>
      </c>
      <c r="I70" s="3">
        <f t="shared" si="5"/>
        <v>2.5544826728329654E-3</v>
      </c>
    </row>
    <row r="71" spans="1:9" x14ac:dyDescent="0.25">
      <c r="A71" t="s">
        <v>77</v>
      </c>
      <c r="B71">
        <v>4578.83</v>
      </c>
      <c r="C71">
        <v>4584.62</v>
      </c>
      <c r="D71">
        <v>4567.53</v>
      </c>
      <c r="E71">
        <v>4576.7299999999996</v>
      </c>
      <c r="F71">
        <v>4576.7299999999996</v>
      </c>
      <c r="G71">
        <v>4042370000</v>
      </c>
      <c r="H71" s="1">
        <f t="shared" si="4"/>
        <v>63.339999999999236</v>
      </c>
      <c r="I71" s="3">
        <f t="shared" si="5"/>
        <v>1.40337972122948E-2</v>
      </c>
    </row>
    <row r="72" spans="1:9" x14ac:dyDescent="0.25">
      <c r="A72" t="s">
        <v>78</v>
      </c>
      <c r="B72">
        <v>4584.82</v>
      </c>
      <c r="C72">
        <v>4594.22</v>
      </c>
      <c r="D72">
        <v>4573.1400000000003</v>
      </c>
      <c r="E72">
        <v>4588.96</v>
      </c>
      <c r="F72">
        <v>4588.96</v>
      </c>
      <c r="G72">
        <v>4503600000</v>
      </c>
      <c r="H72" s="1">
        <f t="shared" si="4"/>
        <v>12.230000000000473</v>
      </c>
      <c r="I72" s="3">
        <f t="shared" si="5"/>
        <v>2.6722135673287423E-3</v>
      </c>
    </row>
    <row r="73" spans="1:9" x14ac:dyDescent="0.25">
      <c r="A73" t="s">
        <v>79</v>
      </c>
      <c r="B73">
        <v>4565.75</v>
      </c>
      <c r="C73">
        <v>4590.16</v>
      </c>
      <c r="D73">
        <v>4564.01</v>
      </c>
      <c r="E73">
        <v>4582.2299999999996</v>
      </c>
      <c r="F73">
        <v>4582.2299999999996</v>
      </c>
      <c r="G73">
        <v>3981010000</v>
      </c>
      <c r="H73" s="1">
        <f t="shared" si="4"/>
        <v>-6.7300000000004729</v>
      </c>
      <c r="I73" s="3">
        <f t="shared" si="5"/>
        <v>-1.4665632300130036E-3</v>
      </c>
    </row>
    <row r="74" spans="1:9" x14ac:dyDescent="0.25">
      <c r="A74" t="s">
        <v>80</v>
      </c>
      <c r="B74">
        <v>4598.26</v>
      </c>
      <c r="C74">
        <v>4607.07</v>
      </c>
      <c r="D74">
        <v>4528.5600000000004</v>
      </c>
      <c r="E74">
        <v>4537.41</v>
      </c>
      <c r="F74">
        <v>4537.41</v>
      </c>
      <c r="G74">
        <v>4553210000</v>
      </c>
      <c r="H74" s="1">
        <f t="shared" si="4"/>
        <v>-44.819999999999709</v>
      </c>
      <c r="I74" s="3">
        <f t="shared" si="5"/>
        <v>-9.7812637078452443E-3</v>
      </c>
    </row>
    <row r="75" spans="1:9" x14ac:dyDescent="0.25">
      <c r="A75" t="s">
        <v>81</v>
      </c>
      <c r="B75">
        <v>4558.96</v>
      </c>
      <c r="C75">
        <v>4582.47</v>
      </c>
      <c r="D75">
        <v>4547.58</v>
      </c>
      <c r="E75">
        <v>4566.75</v>
      </c>
      <c r="F75">
        <v>4566.75</v>
      </c>
      <c r="G75">
        <v>3990290000</v>
      </c>
      <c r="H75" s="1">
        <f t="shared" si="4"/>
        <v>29.340000000000146</v>
      </c>
      <c r="I75" s="3">
        <f t="shared" si="5"/>
        <v>6.4662439585578876E-3</v>
      </c>
    </row>
    <row r="76" spans="1:9" x14ac:dyDescent="0.25">
      <c r="A76" t="s">
        <v>82</v>
      </c>
      <c r="B76">
        <v>4555.1899999999996</v>
      </c>
      <c r="C76">
        <v>4580.62</v>
      </c>
      <c r="D76">
        <v>4552.42</v>
      </c>
      <c r="E76">
        <v>4567.46</v>
      </c>
      <c r="F76">
        <v>4567.46</v>
      </c>
      <c r="G76">
        <v>3812470000</v>
      </c>
      <c r="H76" s="1">
        <f t="shared" si="4"/>
        <v>0.71000000000003638</v>
      </c>
      <c r="I76" s="3">
        <f t="shared" si="5"/>
        <v>1.5547161548147727E-4</v>
      </c>
    </row>
    <row r="77" spans="1:9" x14ac:dyDescent="0.25">
      <c r="A77" t="s">
        <v>83</v>
      </c>
      <c r="B77">
        <v>4543.3900000000003</v>
      </c>
      <c r="C77">
        <v>4563.41</v>
      </c>
      <c r="D77">
        <v>4541.29</v>
      </c>
      <c r="E77">
        <v>4554.6400000000003</v>
      </c>
      <c r="F77">
        <v>4554.6400000000003</v>
      </c>
      <c r="G77">
        <v>3856250000</v>
      </c>
      <c r="H77" s="1">
        <f t="shared" si="4"/>
        <v>-12.819999999999709</v>
      </c>
      <c r="I77" s="3">
        <f t="shared" si="5"/>
        <v>-2.8068116633752039E-3</v>
      </c>
    </row>
    <row r="78" spans="1:9" x14ac:dyDescent="0.25">
      <c r="A78" t="s">
        <v>84</v>
      </c>
      <c r="B78">
        <v>4550.16</v>
      </c>
      <c r="C78">
        <v>4555</v>
      </c>
      <c r="D78">
        <v>4535.79</v>
      </c>
      <c r="E78">
        <v>4536.34</v>
      </c>
      <c r="F78">
        <v>4536.34</v>
      </c>
      <c r="G78">
        <v>3570190000</v>
      </c>
      <c r="H78" s="1">
        <f t="shared" si="4"/>
        <v>-18.300000000000182</v>
      </c>
      <c r="I78" s="3">
        <f t="shared" si="5"/>
        <v>-4.0178806667486742E-3</v>
      </c>
    </row>
    <row r="79" spans="1:9" x14ac:dyDescent="0.25">
      <c r="A79" t="s">
        <v>85</v>
      </c>
      <c r="B79">
        <v>4554.38</v>
      </c>
      <c r="C79">
        <v>4564.74</v>
      </c>
      <c r="D79">
        <v>4527.5600000000004</v>
      </c>
      <c r="E79">
        <v>4534.87</v>
      </c>
      <c r="F79">
        <v>4534.87</v>
      </c>
      <c r="G79">
        <v>3761770000</v>
      </c>
      <c r="H79" s="1">
        <f t="shared" si="4"/>
        <v>-1.4700000000002547</v>
      </c>
      <c r="I79" s="3">
        <f t="shared" si="5"/>
        <v>-3.2404978462819247E-4</v>
      </c>
    </row>
    <row r="80" spans="1:9" x14ac:dyDescent="0.25">
      <c r="A80" t="s">
        <v>86</v>
      </c>
      <c r="B80">
        <v>4563.87</v>
      </c>
      <c r="C80">
        <v>4578.43</v>
      </c>
      <c r="D80">
        <v>4557.4799999999996</v>
      </c>
      <c r="E80">
        <v>4565.72</v>
      </c>
      <c r="F80">
        <v>4565.72</v>
      </c>
      <c r="G80">
        <v>4115670000</v>
      </c>
      <c r="H80" s="1">
        <f t="shared" si="4"/>
        <v>30.850000000000364</v>
      </c>
      <c r="I80" s="3">
        <f t="shared" si="5"/>
        <v>6.8028410957757038E-3</v>
      </c>
    </row>
    <row r="81" spans="1:9" x14ac:dyDescent="0.25">
      <c r="A81" t="s">
        <v>87</v>
      </c>
      <c r="B81">
        <v>4521.78</v>
      </c>
      <c r="C81">
        <v>4562.3</v>
      </c>
      <c r="D81">
        <v>4514.59</v>
      </c>
      <c r="E81">
        <v>4554.9799999999996</v>
      </c>
      <c r="F81">
        <v>4554.9799999999996</v>
      </c>
      <c r="G81">
        <v>4090010000</v>
      </c>
      <c r="H81" s="1">
        <f t="shared" si="4"/>
        <v>-10.740000000000691</v>
      </c>
      <c r="I81" s="3">
        <f t="shared" si="5"/>
        <v>-2.3523124501723036E-3</v>
      </c>
    </row>
    <row r="82" spans="1:9" x14ac:dyDescent="0.25">
      <c r="A82" t="s">
        <v>88</v>
      </c>
      <c r="B82">
        <v>4508.8599999999997</v>
      </c>
      <c r="C82">
        <v>4532.8500000000004</v>
      </c>
      <c r="D82">
        <v>4504.8999999999996</v>
      </c>
      <c r="E82">
        <v>4522.79</v>
      </c>
      <c r="F82">
        <v>4522.79</v>
      </c>
      <c r="G82">
        <v>3538240000</v>
      </c>
      <c r="H82" s="1">
        <f t="shared" si="4"/>
        <v>-32.1899999999996</v>
      </c>
      <c r="I82" s="3">
        <f t="shared" si="5"/>
        <v>-7.0669904148864763E-3</v>
      </c>
    </row>
    <row r="83" spans="1:9" x14ac:dyDescent="0.25">
      <c r="A83" t="s">
        <v>89</v>
      </c>
      <c r="B83">
        <v>4514.6099999999997</v>
      </c>
      <c r="C83">
        <v>4527.76</v>
      </c>
      <c r="D83">
        <v>4499.5600000000004</v>
      </c>
      <c r="E83">
        <v>4505.42</v>
      </c>
      <c r="F83">
        <v>4505.42</v>
      </c>
      <c r="G83">
        <v>3647450000</v>
      </c>
      <c r="H83" s="1">
        <f t="shared" si="4"/>
        <v>-17.369999999999891</v>
      </c>
      <c r="I83" s="3">
        <f t="shared" si="5"/>
        <v>-3.8405497491592337E-3</v>
      </c>
    </row>
    <row r="84" spans="1:9" x14ac:dyDescent="0.25">
      <c r="A84" t="s">
        <v>90</v>
      </c>
      <c r="B84">
        <v>4491.5</v>
      </c>
      <c r="C84">
        <v>4517.38</v>
      </c>
      <c r="D84">
        <v>4489.3599999999997</v>
      </c>
      <c r="E84">
        <v>4510.04</v>
      </c>
      <c r="F84">
        <v>4510.04</v>
      </c>
      <c r="G84">
        <v>3839530000</v>
      </c>
      <c r="H84" s="1">
        <f t="shared" si="4"/>
        <v>4.6199999999998909</v>
      </c>
      <c r="I84" s="3">
        <f t="shared" si="5"/>
        <v>1.0254315912833632E-3</v>
      </c>
    </row>
    <row r="85" spans="1:9" x14ac:dyDescent="0.25">
      <c r="A85" t="s">
        <v>91</v>
      </c>
      <c r="B85">
        <v>4467.6899999999996</v>
      </c>
      <c r="C85">
        <v>4488.34</v>
      </c>
      <c r="D85">
        <v>4463.2299999999996</v>
      </c>
      <c r="E85">
        <v>4472.16</v>
      </c>
      <c r="F85">
        <v>4472.16</v>
      </c>
      <c r="G85">
        <v>3920290000</v>
      </c>
      <c r="H85" s="1">
        <f t="shared" si="4"/>
        <v>-37.880000000000109</v>
      </c>
      <c r="I85" s="3">
        <f t="shared" si="5"/>
        <v>-8.3990385894582107E-3</v>
      </c>
    </row>
    <row r="86" spans="1:9" x14ac:dyDescent="0.25">
      <c r="A86" t="s">
        <v>92</v>
      </c>
      <c r="B86">
        <v>4415.55</v>
      </c>
      <c r="C86">
        <v>4443.6400000000003</v>
      </c>
      <c r="D86">
        <v>4408.46</v>
      </c>
      <c r="E86">
        <v>4439.26</v>
      </c>
      <c r="F86">
        <v>4439.26</v>
      </c>
      <c r="G86">
        <v>3624220000</v>
      </c>
      <c r="H86" s="1">
        <f t="shared" si="4"/>
        <v>-32.899999999999636</v>
      </c>
      <c r="I86" s="3">
        <f t="shared" si="5"/>
        <v>-7.3566240921612014E-3</v>
      </c>
    </row>
    <row r="87" spans="1:9" x14ac:dyDescent="0.25">
      <c r="A87" t="s">
        <v>93</v>
      </c>
      <c r="B87">
        <v>4394.2299999999996</v>
      </c>
      <c r="C87">
        <v>4412.6000000000004</v>
      </c>
      <c r="D87">
        <v>4389.92</v>
      </c>
      <c r="E87">
        <v>4409.53</v>
      </c>
      <c r="F87">
        <v>4409.53</v>
      </c>
      <c r="G87">
        <v>3429600000</v>
      </c>
      <c r="H87" s="1">
        <f t="shared" si="4"/>
        <v>-29.730000000000473</v>
      </c>
      <c r="I87" s="3">
        <f t="shared" si="5"/>
        <v>-6.6970621229665468E-3</v>
      </c>
    </row>
    <row r="88" spans="1:9" x14ac:dyDescent="0.25">
      <c r="A88" t="s">
        <v>94</v>
      </c>
      <c r="B88">
        <v>4404.54</v>
      </c>
      <c r="C88">
        <v>4440.3900000000003</v>
      </c>
      <c r="D88">
        <v>4397.3999999999996</v>
      </c>
      <c r="E88">
        <v>4398.95</v>
      </c>
      <c r="F88">
        <v>4398.95</v>
      </c>
      <c r="G88">
        <v>3630480000</v>
      </c>
      <c r="H88" s="1">
        <f t="shared" si="4"/>
        <v>-10.579999999999927</v>
      </c>
      <c r="I88" s="3">
        <f t="shared" si="5"/>
        <v>-2.3993486834197587E-3</v>
      </c>
    </row>
    <row r="89" spans="1:9" x14ac:dyDescent="0.25">
      <c r="A89" t="s">
        <v>95</v>
      </c>
      <c r="B89">
        <v>4422.62</v>
      </c>
      <c r="C89">
        <v>4422.62</v>
      </c>
      <c r="D89">
        <v>4385.05</v>
      </c>
      <c r="E89">
        <v>4411.59</v>
      </c>
      <c r="F89">
        <v>4411.59</v>
      </c>
      <c r="G89">
        <v>3682020000</v>
      </c>
      <c r="H89" s="1">
        <f t="shared" si="4"/>
        <v>12.640000000000327</v>
      </c>
      <c r="I89" s="3">
        <f t="shared" si="5"/>
        <v>2.873412973550581E-3</v>
      </c>
    </row>
    <row r="90" spans="1:9" x14ac:dyDescent="0.25">
      <c r="A90" t="s">
        <v>96</v>
      </c>
      <c r="B90">
        <v>4442.04</v>
      </c>
      <c r="C90">
        <v>4454.0600000000004</v>
      </c>
      <c r="D90">
        <v>4436.6099999999997</v>
      </c>
      <c r="E90">
        <v>4446.82</v>
      </c>
      <c r="F90">
        <v>4446.82</v>
      </c>
      <c r="G90">
        <v>3482620000</v>
      </c>
      <c r="H90" s="1">
        <f t="shared" si="4"/>
        <v>35.229999999999563</v>
      </c>
      <c r="I90" s="3">
        <f t="shared" si="5"/>
        <v>7.9857829036695527E-3</v>
      </c>
    </row>
    <row r="91" spans="1:9" x14ac:dyDescent="0.25">
      <c r="A91" t="s">
        <v>97</v>
      </c>
      <c r="B91">
        <v>4450.4799999999996</v>
      </c>
      <c r="C91">
        <v>4456.46</v>
      </c>
      <c r="D91">
        <v>4442.29</v>
      </c>
      <c r="E91">
        <v>4455.59</v>
      </c>
      <c r="F91">
        <v>4455.59</v>
      </c>
      <c r="G91">
        <v>2034280000</v>
      </c>
      <c r="H91" s="1">
        <f t="shared" si="4"/>
        <v>8.7700000000004366</v>
      </c>
      <c r="I91" s="3">
        <f t="shared" si="5"/>
        <v>1.9721958613122268E-3</v>
      </c>
    </row>
    <row r="92" spans="1:9" x14ac:dyDescent="0.25">
      <c r="A92" t="s">
        <v>98</v>
      </c>
      <c r="B92">
        <v>4422.4399999999996</v>
      </c>
      <c r="C92">
        <v>4458.4799999999996</v>
      </c>
      <c r="D92">
        <v>4422.4399999999996</v>
      </c>
      <c r="E92">
        <v>4450.38</v>
      </c>
      <c r="F92">
        <v>4450.38</v>
      </c>
      <c r="G92">
        <v>3923450000</v>
      </c>
      <c r="H92" s="1">
        <f t="shared" si="4"/>
        <v>-5.2100000000000364</v>
      </c>
      <c r="I92" s="3">
        <f t="shared" si="5"/>
        <v>-1.1693176436790719E-3</v>
      </c>
    </row>
    <row r="93" spans="1:9" x14ac:dyDescent="0.25">
      <c r="A93" t="s">
        <v>99</v>
      </c>
      <c r="B93">
        <v>4374.9399999999996</v>
      </c>
      <c r="C93">
        <v>4398.3900000000003</v>
      </c>
      <c r="D93">
        <v>4371.97</v>
      </c>
      <c r="E93">
        <v>4396.4399999999996</v>
      </c>
      <c r="F93">
        <v>4396.4399999999996</v>
      </c>
      <c r="G93">
        <v>3696660000</v>
      </c>
      <c r="H93" s="1">
        <f t="shared" si="4"/>
        <v>-53.940000000000509</v>
      </c>
      <c r="I93" s="3">
        <f t="shared" si="5"/>
        <v>-1.2120313321559172E-2</v>
      </c>
    </row>
    <row r="94" spans="1:9" x14ac:dyDescent="0.25">
      <c r="A94" t="s">
        <v>100</v>
      </c>
      <c r="B94">
        <v>4367.4799999999996</v>
      </c>
      <c r="C94">
        <v>4390.3500000000004</v>
      </c>
      <c r="D94">
        <v>4360.22</v>
      </c>
      <c r="E94">
        <v>4376.8599999999997</v>
      </c>
      <c r="F94">
        <v>4376.8599999999997</v>
      </c>
      <c r="G94">
        <v>3739330000</v>
      </c>
      <c r="H94" s="1">
        <f t="shared" si="4"/>
        <v>-19.579999999999927</v>
      </c>
      <c r="I94" s="3">
        <f t="shared" si="5"/>
        <v>-4.4536033699993467E-3</v>
      </c>
    </row>
    <row r="95" spans="1:9" x14ac:dyDescent="0.25">
      <c r="A95" t="s">
        <v>101</v>
      </c>
      <c r="B95">
        <v>4337.3599999999997</v>
      </c>
      <c r="C95">
        <v>4384.42</v>
      </c>
      <c r="D95">
        <v>4335</v>
      </c>
      <c r="E95">
        <v>4378.41</v>
      </c>
      <c r="F95">
        <v>4378.41</v>
      </c>
      <c r="G95">
        <v>3573500000</v>
      </c>
      <c r="H95" s="1">
        <f t="shared" si="4"/>
        <v>1.5500000000001819</v>
      </c>
      <c r="I95" s="3">
        <f t="shared" si="5"/>
        <v>3.541351562536115E-4</v>
      </c>
    </row>
    <row r="96" spans="1:9" x14ac:dyDescent="0.25">
      <c r="A96" t="s">
        <v>102</v>
      </c>
      <c r="B96">
        <v>4344.84</v>
      </c>
      <c r="C96">
        <v>4362.0600000000004</v>
      </c>
      <c r="D96">
        <v>4328.08</v>
      </c>
      <c r="E96">
        <v>4328.82</v>
      </c>
      <c r="F96">
        <v>4328.82</v>
      </c>
      <c r="G96">
        <v>3415030000</v>
      </c>
      <c r="H96" s="1">
        <f t="shared" si="4"/>
        <v>-49.590000000000146</v>
      </c>
      <c r="I96" s="3">
        <f t="shared" si="5"/>
        <v>-1.1326029312010558E-2</v>
      </c>
    </row>
    <row r="97" spans="1:9" x14ac:dyDescent="0.25">
      <c r="A97" t="s">
        <v>103</v>
      </c>
      <c r="B97">
        <v>4354.17</v>
      </c>
      <c r="C97">
        <v>4366.55</v>
      </c>
      <c r="D97">
        <v>4341.34</v>
      </c>
      <c r="E97">
        <v>4348.33</v>
      </c>
      <c r="F97">
        <v>4348.33</v>
      </c>
      <c r="G97">
        <v>6053620000</v>
      </c>
      <c r="H97" s="1">
        <f t="shared" si="4"/>
        <v>19.510000000000218</v>
      </c>
      <c r="I97" s="3">
        <f t="shared" si="5"/>
        <v>4.5070019081412992E-3</v>
      </c>
    </row>
    <row r="98" spans="1:9" x14ac:dyDescent="0.25">
      <c r="A98" t="s">
        <v>104</v>
      </c>
      <c r="B98">
        <v>4355.3999999999996</v>
      </c>
      <c r="C98">
        <v>4382.25</v>
      </c>
      <c r="D98">
        <v>4351.82</v>
      </c>
      <c r="E98">
        <v>4381.8900000000003</v>
      </c>
      <c r="F98">
        <v>4381.8900000000003</v>
      </c>
      <c r="G98">
        <v>3511000000</v>
      </c>
      <c r="H98" s="1">
        <f t="shared" si="4"/>
        <v>33.5600000000004</v>
      </c>
      <c r="I98" s="3">
        <f t="shared" si="5"/>
        <v>7.7179054947532503E-3</v>
      </c>
    </row>
    <row r="99" spans="1:9" x14ac:dyDescent="0.25">
      <c r="A99" t="s">
        <v>105</v>
      </c>
      <c r="B99">
        <v>4380.01</v>
      </c>
      <c r="C99">
        <v>4386.22</v>
      </c>
      <c r="D99">
        <v>4360.1400000000003</v>
      </c>
      <c r="E99">
        <v>4365.6899999999996</v>
      </c>
      <c r="F99">
        <v>4365.6899999999996</v>
      </c>
      <c r="G99">
        <v>3709330000</v>
      </c>
      <c r="H99" s="1">
        <f t="shared" si="4"/>
        <v>-16.200000000000728</v>
      </c>
      <c r="I99" s="3">
        <f t="shared" si="5"/>
        <v>-3.6970348411303629E-3</v>
      </c>
    </row>
    <row r="100" spans="1:9" x14ac:dyDescent="0.25">
      <c r="A100" t="s">
        <v>106</v>
      </c>
      <c r="B100">
        <v>4396.1099999999997</v>
      </c>
      <c r="C100">
        <v>4400.1499999999996</v>
      </c>
      <c r="D100">
        <v>4367.1899999999996</v>
      </c>
      <c r="E100">
        <v>4388.71</v>
      </c>
      <c r="F100">
        <v>4388.71</v>
      </c>
      <c r="G100">
        <v>4055790000</v>
      </c>
      <c r="H100" s="1">
        <f t="shared" si="4"/>
        <v>23.020000000000437</v>
      </c>
      <c r="I100" s="3">
        <f t="shared" si="5"/>
        <v>5.2729350915892877E-3</v>
      </c>
    </row>
    <row r="101" spans="1:9" x14ac:dyDescent="0.25">
      <c r="A101" t="s">
        <v>107</v>
      </c>
      <c r="B101">
        <v>4440.95</v>
      </c>
      <c r="C101">
        <v>4448.47</v>
      </c>
      <c r="D101">
        <v>4407.4399999999996</v>
      </c>
      <c r="E101">
        <v>4409.59</v>
      </c>
      <c r="F101">
        <v>4409.59</v>
      </c>
      <c r="G101">
        <v>6848600000</v>
      </c>
      <c r="H101" s="1">
        <f t="shared" si="4"/>
        <v>20.880000000000109</v>
      </c>
      <c r="I101" s="3">
        <f t="shared" si="5"/>
        <v>4.7576622743357635E-3</v>
      </c>
    </row>
    <row r="102" spans="1:9" x14ac:dyDescent="0.25">
      <c r="A102" t="s">
        <v>108</v>
      </c>
      <c r="B102">
        <v>4365.33</v>
      </c>
      <c r="C102">
        <v>4439.2</v>
      </c>
      <c r="D102">
        <v>4362.6000000000004</v>
      </c>
      <c r="E102">
        <v>4425.84</v>
      </c>
      <c r="F102">
        <v>4425.84</v>
      </c>
      <c r="G102">
        <v>4176690000</v>
      </c>
      <c r="H102" s="1">
        <f t="shared" si="4"/>
        <v>16.25</v>
      </c>
      <c r="I102" s="3">
        <f t="shared" si="5"/>
        <v>3.6851498665408803E-3</v>
      </c>
    </row>
    <row r="103" spans="1:9" x14ac:dyDescent="0.25">
      <c r="A103" t="s">
        <v>109</v>
      </c>
      <c r="B103">
        <v>4366.29</v>
      </c>
      <c r="C103">
        <v>4391.82</v>
      </c>
      <c r="D103">
        <v>4337.8500000000004</v>
      </c>
      <c r="E103">
        <v>4372.59</v>
      </c>
      <c r="F103">
        <v>4372.59</v>
      </c>
      <c r="G103">
        <v>4252110000</v>
      </c>
      <c r="H103" s="1">
        <f t="shared" si="4"/>
        <v>-53.25</v>
      </c>
      <c r="I103" s="3">
        <f t="shared" si="5"/>
        <v>-1.2031614337617265E-2</v>
      </c>
    </row>
    <row r="104" spans="1:9" x14ac:dyDescent="0.25">
      <c r="A104" t="s">
        <v>110</v>
      </c>
      <c r="B104">
        <v>4352.6099999999997</v>
      </c>
      <c r="C104">
        <v>4375.37</v>
      </c>
      <c r="D104">
        <v>4349.3100000000004</v>
      </c>
      <c r="E104">
        <v>4369.01</v>
      </c>
      <c r="F104">
        <v>4369.01</v>
      </c>
      <c r="G104">
        <v>4275400000</v>
      </c>
      <c r="H104" s="1">
        <f t="shared" si="4"/>
        <v>-3.5799999999999272</v>
      </c>
      <c r="I104" s="3">
        <f t="shared" si="5"/>
        <v>-8.1873672125672137E-4</v>
      </c>
    </row>
    <row r="105" spans="1:9" x14ac:dyDescent="0.25">
      <c r="A105" t="s">
        <v>111</v>
      </c>
      <c r="B105">
        <v>4308.32</v>
      </c>
      <c r="C105">
        <v>4340.13</v>
      </c>
      <c r="D105">
        <v>4304.37</v>
      </c>
      <c r="E105">
        <v>4338.93</v>
      </c>
      <c r="F105">
        <v>4338.93</v>
      </c>
      <c r="G105">
        <v>3945670000</v>
      </c>
      <c r="H105" s="1">
        <f t="shared" si="4"/>
        <v>-30.079999999999927</v>
      </c>
      <c r="I105" s="3">
        <f t="shared" si="5"/>
        <v>-6.8848549213666082E-3</v>
      </c>
    </row>
    <row r="106" spans="1:9" x14ac:dyDescent="0.25">
      <c r="A106" t="s">
        <v>112</v>
      </c>
      <c r="B106">
        <v>4304.88</v>
      </c>
      <c r="C106">
        <v>4322.62</v>
      </c>
      <c r="D106">
        <v>4291.7</v>
      </c>
      <c r="E106">
        <v>4298.8599999999997</v>
      </c>
      <c r="F106">
        <v>4298.8599999999997</v>
      </c>
      <c r="G106">
        <v>3786510000</v>
      </c>
      <c r="H106" s="1">
        <f t="shared" si="4"/>
        <v>-40.070000000000618</v>
      </c>
      <c r="I106" s="3">
        <f t="shared" si="5"/>
        <v>-9.2349957247525576E-3</v>
      </c>
    </row>
    <row r="107" spans="1:9" x14ac:dyDescent="0.25">
      <c r="A107" t="s">
        <v>113</v>
      </c>
      <c r="B107">
        <v>4268.6899999999996</v>
      </c>
      <c r="C107">
        <v>4298.01</v>
      </c>
      <c r="D107">
        <v>4261.07</v>
      </c>
      <c r="E107">
        <v>4293.93</v>
      </c>
      <c r="F107">
        <v>4293.93</v>
      </c>
      <c r="G107">
        <v>3826740000</v>
      </c>
      <c r="H107" s="1">
        <f t="shared" si="4"/>
        <v>-4.9299999999993815</v>
      </c>
      <c r="I107" s="3">
        <f t="shared" si="5"/>
        <v>-1.1468156674093555E-3</v>
      </c>
    </row>
    <row r="108" spans="1:9" x14ac:dyDescent="0.25">
      <c r="A108" t="s">
        <v>114</v>
      </c>
      <c r="B108">
        <v>4285.47</v>
      </c>
      <c r="C108">
        <v>4299.1899999999996</v>
      </c>
      <c r="D108">
        <v>4263.96</v>
      </c>
      <c r="E108">
        <v>4267.5200000000004</v>
      </c>
      <c r="F108">
        <v>4267.5200000000004</v>
      </c>
      <c r="G108">
        <v>4537800000</v>
      </c>
      <c r="H108" s="1">
        <f t="shared" si="4"/>
        <v>-26.409999999999854</v>
      </c>
      <c r="I108" s="3">
        <f t="shared" si="5"/>
        <v>-6.1505427428951692E-3</v>
      </c>
    </row>
    <row r="109" spans="1:9" x14ac:dyDescent="0.25">
      <c r="A109" t="s">
        <v>115</v>
      </c>
      <c r="B109">
        <v>4271.34</v>
      </c>
      <c r="C109">
        <v>4288.33</v>
      </c>
      <c r="D109">
        <v>4263.09</v>
      </c>
      <c r="E109">
        <v>4283.8500000000004</v>
      </c>
      <c r="F109">
        <v>4283.8500000000004</v>
      </c>
      <c r="G109">
        <v>3996560000</v>
      </c>
      <c r="H109" s="1">
        <f t="shared" si="4"/>
        <v>16.329999999999927</v>
      </c>
      <c r="I109" s="3">
        <f t="shared" si="5"/>
        <v>3.8265784343131199E-3</v>
      </c>
    </row>
    <row r="110" spans="1:9" x14ac:dyDescent="0.25">
      <c r="A110" t="s">
        <v>116</v>
      </c>
      <c r="B110">
        <v>4282.99</v>
      </c>
      <c r="C110">
        <v>4299.28</v>
      </c>
      <c r="D110">
        <v>4266.82</v>
      </c>
      <c r="E110">
        <v>4273.79</v>
      </c>
      <c r="F110">
        <v>4273.79</v>
      </c>
      <c r="G110">
        <v>3813290000</v>
      </c>
      <c r="H110" s="1">
        <f t="shared" si="4"/>
        <v>-10.0600000000004</v>
      </c>
      <c r="I110" s="3">
        <f t="shared" si="5"/>
        <v>-2.3483548677008764E-3</v>
      </c>
    </row>
    <row r="111" spans="1:9" x14ac:dyDescent="0.25">
      <c r="A111" t="s">
        <v>117</v>
      </c>
      <c r="B111">
        <v>4241.01</v>
      </c>
      <c r="C111">
        <v>4290.67</v>
      </c>
      <c r="D111">
        <v>4241.01</v>
      </c>
      <c r="E111">
        <v>4282.37</v>
      </c>
      <c r="F111">
        <v>4282.37</v>
      </c>
      <c r="G111">
        <v>4454200000</v>
      </c>
      <c r="H111" s="1">
        <f t="shared" si="4"/>
        <v>8.5799999999999272</v>
      </c>
      <c r="I111" s="3">
        <f t="shared" si="5"/>
        <v>2.0075857728152125E-3</v>
      </c>
    </row>
    <row r="112" spans="1:9" x14ac:dyDescent="0.25">
      <c r="A112" t="s">
        <v>118</v>
      </c>
      <c r="B112">
        <v>4183.03</v>
      </c>
      <c r="C112">
        <v>4232.43</v>
      </c>
      <c r="D112">
        <v>4171.6400000000003</v>
      </c>
      <c r="E112">
        <v>4221.0200000000004</v>
      </c>
      <c r="F112">
        <v>4221.0200000000004</v>
      </c>
      <c r="G112">
        <v>4391860000</v>
      </c>
      <c r="H112" s="1">
        <f t="shared" si="4"/>
        <v>-61.349999999999454</v>
      </c>
      <c r="I112" s="3">
        <f t="shared" si="5"/>
        <v>-1.4326179195165167E-2</v>
      </c>
    </row>
    <row r="113" spans="1:9" x14ac:dyDescent="0.25">
      <c r="A113" t="s">
        <v>119</v>
      </c>
      <c r="B113">
        <v>4190.74</v>
      </c>
      <c r="C113">
        <v>4195.4399999999996</v>
      </c>
      <c r="D113">
        <v>4166.1499999999996</v>
      </c>
      <c r="E113">
        <v>4179.83</v>
      </c>
      <c r="F113">
        <v>4179.83</v>
      </c>
      <c r="G113">
        <v>5980670000</v>
      </c>
      <c r="H113" s="1">
        <f t="shared" si="4"/>
        <v>-41.190000000000509</v>
      </c>
      <c r="I113" s="3">
        <f t="shared" si="5"/>
        <v>-9.7583048647010683E-3</v>
      </c>
    </row>
    <row r="114" spans="1:9" x14ac:dyDescent="0.25">
      <c r="A114" t="s">
        <v>120</v>
      </c>
      <c r="B114">
        <v>4226.71</v>
      </c>
      <c r="C114">
        <v>4231.1000000000004</v>
      </c>
      <c r="D114">
        <v>4192.18</v>
      </c>
      <c r="E114">
        <v>4205.5200000000004</v>
      </c>
      <c r="F114">
        <v>4205.5200000000004</v>
      </c>
      <c r="G114">
        <v>4228510000</v>
      </c>
      <c r="H114" s="1">
        <f t="shared" si="4"/>
        <v>25.690000000000509</v>
      </c>
      <c r="I114" s="3">
        <f t="shared" si="5"/>
        <v>6.146182978733707E-3</v>
      </c>
    </row>
    <row r="115" spans="1:9" x14ac:dyDescent="0.25">
      <c r="A115" t="s">
        <v>121</v>
      </c>
      <c r="B115">
        <v>4156.16</v>
      </c>
      <c r="C115">
        <v>4212.87</v>
      </c>
      <c r="D115">
        <v>4156.16</v>
      </c>
      <c r="E115">
        <v>4205.45</v>
      </c>
      <c r="F115">
        <v>4205.45</v>
      </c>
      <c r="G115">
        <v>3715460000</v>
      </c>
      <c r="H115" s="1">
        <f t="shared" si="4"/>
        <v>-7.0000000000618456E-2</v>
      </c>
      <c r="I115" s="3">
        <f t="shared" si="5"/>
        <v>-1.6644790656237149E-5</v>
      </c>
    </row>
    <row r="116" spans="1:9" x14ac:dyDescent="0.25">
      <c r="A116" t="s">
        <v>122</v>
      </c>
      <c r="B116">
        <v>4155.71</v>
      </c>
      <c r="C116">
        <v>4165.74</v>
      </c>
      <c r="D116">
        <v>4129.7299999999996</v>
      </c>
      <c r="E116">
        <v>4151.28</v>
      </c>
      <c r="F116">
        <v>4151.28</v>
      </c>
      <c r="G116">
        <v>4147760000</v>
      </c>
      <c r="H116" s="1">
        <f t="shared" si="4"/>
        <v>-54.170000000000073</v>
      </c>
      <c r="I116" s="3">
        <f t="shared" si="5"/>
        <v>-1.2880904540536703E-2</v>
      </c>
    </row>
    <row r="117" spans="1:9" x14ac:dyDescent="0.25">
      <c r="A117" t="s">
        <v>123</v>
      </c>
      <c r="B117">
        <v>4132.96</v>
      </c>
      <c r="C117">
        <v>4132.96</v>
      </c>
      <c r="D117">
        <v>4103.9799999999996</v>
      </c>
      <c r="E117">
        <v>4115.24</v>
      </c>
      <c r="F117">
        <v>4115.24</v>
      </c>
      <c r="G117">
        <v>3739160000</v>
      </c>
      <c r="H117" s="1">
        <f t="shared" si="4"/>
        <v>-36.039999999999964</v>
      </c>
      <c r="I117" s="3">
        <f t="shared" si="5"/>
        <v>-8.6816596326915949E-3</v>
      </c>
    </row>
    <row r="118" spans="1:9" x14ac:dyDescent="0.25">
      <c r="A118" t="s">
        <v>124</v>
      </c>
      <c r="B118">
        <v>4176.8</v>
      </c>
      <c r="C118">
        <v>4185.68</v>
      </c>
      <c r="D118">
        <v>4142.54</v>
      </c>
      <c r="E118">
        <v>4145.58</v>
      </c>
      <c r="F118">
        <v>4145.58</v>
      </c>
      <c r="G118">
        <v>4155320000</v>
      </c>
      <c r="H118" s="1">
        <f t="shared" si="4"/>
        <v>30.340000000000146</v>
      </c>
      <c r="I118" s="3">
        <f t="shared" si="5"/>
        <v>7.3725955229828992E-3</v>
      </c>
    </row>
    <row r="119" spans="1:9" x14ac:dyDescent="0.25">
      <c r="A119" t="s">
        <v>125</v>
      </c>
      <c r="B119">
        <v>4190.78</v>
      </c>
      <c r="C119">
        <v>4209.22</v>
      </c>
      <c r="D119">
        <v>4179.68</v>
      </c>
      <c r="E119">
        <v>4192.63</v>
      </c>
      <c r="F119">
        <v>4192.63</v>
      </c>
      <c r="G119">
        <v>3728520000</v>
      </c>
      <c r="H119" s="1">
        <f t="shared" si="4"/>
        <v>47.050000000000182</v>
      </c>
      <c r="I119" s="3">
        <f t="shared" si="5"/>
        <v>1.1349437231943463E-2</v>
      </c>
    </row>
    <row r="120" spans="1:9" x14ac:dyDescent="0.25">
      <c r="A120" t="s">
        <v>126</v>
      </c>
      <c r="B120">
        <v>4204.1499999999996</v>
      </c>
      <c r="C120">
        <v>4212.91</v>
      </c>
      <c r="D120">
        <v>4180.2</v>
      </c>
      <c r="E120">
        <v>4191.9799999999996</v>
      </c>
      <c r="F120">
        <v>4191.9799999999996</v>
      </c>
      <c r="G120">
        <v>4041900000</v>
      </c>
      <c r="H120" s="1">
        <f t="shared" si="4"/>
        <v>-0.6500000000005457</v>
      </c>
      <c r="I120" s="3">
        <f t="shared" si="5"/>
        <v>-1.5503395243571355E-4</v>
      </c>
    </row>
    <row r="121" spans="1:9" x14ac:dyDescent="0.25">
      <c r="A121" t="s">
        <v>127</v>
      </c>
      <c r="B121">
        <v>4157.68</v>
      </c>
      <c r="C121">
        <v>4202.2</v>
      </c>
      <c r="D121">
        <v>4153.5</v>
      </c>
      <c r="E121">
        <v>4198.05</v>
      </c>
      <c r="F121">
        <v>4198.05</v>
      </c>
      <c r="G121">
        <v>3980500000</v>
      </c>
      <c r="H121" s="1">
        <f t="shared" si="4"/>
        <v>6.0700000000006185</v>
      </c>
      <c r="I121" s="3">
        <f t="shared" si="5"/>
        <v>1.4480030916179513E-3</v>
      </c>
    </row>
    <row r="122" spans="1:9" x14ac:dyDescent="0.25">
      <c r="A122" t="s">
        <v>128</v>
      </c>
      <c r="B122">
        <v>4122.8500000000004</v>
      </c>
      <c r="C122">
        <v>4164.67</v>
      </c>
      <c r="D122">
        <v>4113.62</v>
      </c>
      <c r="E122">
        <v>4158.7700000000004</v>
      </c>
      <c r="F122">
        <v>4158.7700000000004</v>
      </c>
      <c r="G122">
        <v>4039080000</v>
      </c>
      <c r="H122" s="1">
        <f t="shared" si="4"/>
        <v>-39.279999999999745</v>
      </c>
      <c r="I122" s="3">
        <f t="shared" si="5"/>
        <v>-9.3567251461987699E-3</v>
      </c>
    </row>
    <row r="123" spans="1:9" x14ac:dyDescent="0.25">
      <c r="A123" t="s">
        <v>129</v>
      </c>
      <c r="B123">
        <v>4127.95</v>
      </c>
      <c r="C123">
        <v>4135.54</v>
      </c>
      <c r="D123">
        <v>4109.8599999999997</v>
      </c>
      <c r="E123">
        <v>4109.8999999999996</v>
      </c>
      <c r="F123">
        <v>4109.8999999999996</v>
      </c>
      <c r="G123">
        <v>3654200000</v>
      </c>
      <c r="H123" s="1">
        <f t="shared" si="4"/>
        <v>-48.8700000000008</v>
      </c>
      <c r="I123" s="3">
        <f t="shared" si="5"/>
        <v>-1.1751070629056379E-2</v>
      </c>
    </row>
    <row r="124" spans="1:9" x14ac:dyDescent="0.25">
      <c r="A124" t="s">
        <v>130</v>
      </c>
      <c r="B124">
        <v>4126.6499999999996</v>
      </c>
      <c r="C124">
        <v>4141.25</v>
      </c>
      <c r="D124">
        <v>4110.2700000000004</v>
      </c>
      <c r="E124">
        <v>4136.28</v>
      </c>
      <c r="F124">
        <v>4136.28</v>
      </c>
      <c r="G124">
        <v>3562170000</v>
      </c>
      <c r="H124" s="1">
        <f t="shared" si="4"/>
        <v>26.380000000000109</v>
      </c>
      <c r="I124" s="3">
        <f t="shared" si="5"/>
        <v>6.4186476556607492E-3</v>
      </c>
    </row>
    <row r="125" spans="1:9" x14ac:dyDescent="0.25">
      <c r="A125" t="s">
        <v>131</v>
      </c>
      <c r="B125">
        <v>4138.54</v>
      </c>
      <c r="C125">
        <v>4143.74</v>
      </c>
      <c r="D125">
        <v>4099.12</v>
      </c>
      <c r="E125">
        <v>4124.08</v>
      </c>
      <c r="F125">
        <v>4124.08</v>
      </c>
      <c r="G125">
        <v>3533740000</v>
      </c>
      <c r="H125" s="1">
        <f t="shared" si="4"/>
        <v>-12.199999999999818</v>
      </c>
      <c r="I125" s="3">
        <f t="shared" si="5"/>
        <v>-2.949510187898261E-3</v>
      </c>
    </row>
    <row r="126" spans="1:9" x14ac:dyDescent="0.25">
      <c r="A126" t="s">
        <v>132</v>
      </c>
      <c r="B126">
        <v>4132.24</v>
      </c>
      <c r="C126">
        <v>4132.8</v>
      </c>
      <c r="D126">
        <v>4109.29</v>
      </c>
      <c r="E126">
        <v>4130.62</v>
      </c>
      <c r="F126">
        <v>4130.62</v>
      </c>
      <c r="G126">
        <v>3752900000</v>
      </c>
      <c r="H126" s="1">
        <f t="shared" si="4"/>
        <v>6.5399999999999636</v>
      </c>
      <c r="I126" s="3">
        <f t="shared" si="5"/>
        <v>1.5858082287443414E-3</v>
      </c>
    </row>
    <row r="127" spans="1:9" x14ac:dyDescent="0.25">
      <c r="A127" t="s">
        <v>133</v>
      </c>
      <c r="B127">
        <v>4143.74</v>
      </c>
      <c r="C127">
        <v>4154.28</v>
      </c>
      <c r="D127">
        <v>4098.92</v>
      </c>
      <c r="E127">
        <v>4137.6400000000003</v>
      </c>
      <c r="F127">
        <v>4137.6400000000003</v>
      </c>
      <c r="G127">
        <v>4057160000</v>
      </c>
      <c r="H127" s="1">
        <f t="shared" si="4"/>
        <v>7.0200000000004366</v>
      </c>
      <c r="I127" s="3">
        <f t="shared" si="5"/>
        <v>1.6995027380878505E-3</v>
      </c>
    </row>
    <row r="128" spans="1:9" x14ac:dyDescent="0.25">
      <c r="A128" t="s">
        <v>134</v>
      </c>
      <c r="B128">
        <v>4124.25</v>
      </c>
      <c r="C128">
        <v>4130.3500000000004</v>
      </c>
      <c r="D128">
        <v>4116.6499999999996</v>
      </c>
      <c r="E128">
        <v>4119.17</v>
      </c>
      <c r="F128">
        <v>4119.17</v>
      </c>
      <c r="G128">
        <v>3810140000</v>
      </c>
      <c r="H128" s="1">
        <f t="shared" si="4"/>
        <v>-18.470000000000255</v>
      </c>
      <c r="I128" s="3">
        <f t="shared" si="5"/>
        <v>-4.4638972941097466E-3</v>
      </c>
    </row>
    <row r="129" spans="1:9" x14ac:dyDescent="0.25">
      <c r="A129" t="s">
        <v>135</v>
      </c>
      <c r="B129">
        <v>4136.9799999999996</v>
      </c>
      <c r="C129">
        <v>4142.3</v>
      </c>
      <c r="D129">
        <v>4123.8100000000004</v>
      </c>
      <c r="E129">
        <v>4138.12</v>
      </c>
      <c r="F129">
        <v>4138.12</v>
      </c>
      <c r="G129">
        <v>3641640000</v>
      </c>
      <c r="H129" s="1">
        <f t="shared" si="4"/>
        <v>18.949999999999818</v>
      </c>
      <c r="I129" s="3">
        <f t="shared" si="5"/>
        <v>4.6004413510488317E-3</v>
      </c>
    </row>
    <row r="130" spans="1:9" x14ac:dyDescent="0.25">
      <c r="A130" t="s">
        <v>136</v>
      </c>
      <c r="B130">
        <v>4084.73</v>
      </c>
      <c r="C130">
        <v>4147.0200000000004</v>
      </c>
      <c r="D130">
        <v>4084.73</v>
      </c>
      <c r="E130">
        <v>4136.25</v>
      </c>
      <c r="F130">
        <v>4136.25</v>
      </c>
      <c r="G130">
        <v>4186270000</v>
      </c>
      <c r="H130" s="1">
        <f t="shared" si="4"/>
        <v>-1.8699999999998909</v>
      </c>
      <c r="I130" s="3">
        <f t="shared" si="5"/>
        <v>-4.518960300812666E-4</v>
      </c>
    </row>
    <row r="131" spans="1:9" x14ac:dyDescent="0.25">
      <c r="A131" t="s">
        <v>137</v>
      </c>
      <c r="B131">
        <v>4082.55</v>
      </c>
      <c r="C131">
        <v>4082.61</v>
      </c>
      <c r="D131">
        <v>4048.28</v>
      </c>
      <c r="E131">
        <v>4061.22</v>
      </c>
      <c r="F131">
        <v>4061.22</v>
      </c>
      <c r="G131">
        <v>4920090000</v>
      </c>
      <c r="H131" s="1">
        <f t="shared" si="4"/>
        <v>-75.0300000000002</v>
      </c>
      <c r="I131" s="3">
        <f t="shared" si="5"/>
        <v>-1.8139619220308299E-2</v>
      </c>
    </row>
    <row r="132" spans="1:9" x14ac:dyDescent="0.25">
      <c r="A132" t="s">
        <v>138</v>
      </c>
      <c r="B132">
        <v>4122.25</v>
      </c>
      <c r="C132">
        <v>4148.3</v>
      </c>
      <c r="D132">
        <v>4088.86</v>
      </c>
      <c r="E132">
        <v>4090.75</v>
      </c>
      <c r="F132">
        <v>4090.75</v>
      </c>
      <c r="G132">
        <v>4246510000</v>
      </c>
      <c r="H132" s="1">
        <f t="shared" ref="H132:H195" si="6">E132-E131</f>
        <v>29.5300000000002</v>
      </c>
      <c r="I132" s="3">
        <f t="shared" ref="I132:I195" si="7">H132/E131</f>
        <v>7.2712140686789191E-3</v>
      </c>
    </row>
    <row r="133" spans="1:9" x14ac:dyDescent="0.25">
      <c r="A133" t="s">
        <v>139</v>
      </c>
      <c r="B133">
        <v>4164.1000000000004</v>
      </c>
      <c r="C133">
        <v>4164.1000000000004</v>
      </c>
      <c r="D133">
        <v>4089.72</v>
      </c>
      <c r="E133">
        <v>4119.58</v>
      </c>
      <c r="F133">
        <v>4119.58</v>
      </c>
      <c r="G133">
        <v>4486130000</v>
      </c>
      <c r="H133" s="1">
        <f t="shared" si="6"/>
        <v>28.829999999999927</v>
      </c>
      <c r="I133" s="3">
        <f t="shared" si="7"/>
        <v>7.0476074069546974E-3</v>
      </c>
    </row>
    <row r="134" spans="1:9" x14ac:dyDescent="0.25">
      <c r="A134" t="s">
        <v>140</v>
      </c>
      <c r="B134">
        <v>4166.79</v>
      </c>
      <c r="C134">
        <v>4186.92</v>
      </c>
      <c r="D134">
        <v>4164.12</v>
      </c>
      <c r="E134">
        <v>4167.87</v>
      </c>
      <c r="F134">
        <v>4167.87</v>
      </c>
      <c r="G134">
        <v>3321370000</v>
      </c>
      <c r="H134" s="1">
        <f t="shared" si="6"/>
        <v>48.289999999999964</v>
      </c>
      <c r="I134" s="3">
        <f t="shared" si="7"/>
        <v>1.1722068754581769E-2</v>
      </c>
    </row>
    <row r="135" spans="1:9" x14ac:dyDescent="0.25">
      <c r="A135" t="s">
        <v>141</v>
      </c>
      <c r="B135">
        <v>4129.63</v>
      </c>
      <c r="C135">
        <v>4170.0600000000004</v>
      </c>
      <c r="D135">
        <v>4127.18</v>
      </c>
      <c r="E135">
        <v>4169.4799999999996</v>
      </c>
      <c r="F135">
        <v>4169.4799999999996</v>
      </c>
      <c r="G135">
        <v>4087800000</v>
      </c>
      <c r="H135" s="1">
        <f t="shared" si="6"/>
        <v>1.6099999999996726</v>
      </c>
      <c r="I135" s="3">
        <f t="shared" si="7"/>
        <v>3.8628843989847874E-4</v>
      </c>
    </row>
    <row r="136" spans="1:9" x14ac:dyDescent="0.25">
      <c r="A136" t="s">
        <v>142</v>
      </c>
      <c r="B136">
        <v>4075.29</v>
      </c>
      <c r="C136">
        <v>4138.24</v>
      </c>
      <c r="D136">
        <v>4075.29</v>
      </c>
      <c r="E136">
        <v>4135.3500000000004</v>
      </c>
      <c r="F136">
        <v>4135.3500000000004</v>
      </c>
      <c r="G136">
        <v>3750550000</v>
      </c>
      <c r="H136" s="1">
        <f t="shared" si="6"/>
        <v>-34.1299999999992</v>
      </c>
      <c r="I136" s="3">
        <f t="shared" si="7"/>
        <v>-8.1856730335675438E-3</v>
      </c>
    </row>
    <row r="137" spans="1:9" x14ac:dyDescent="0.25">
      <c r="A137" t="s">
        <v>143</v>
      </c>
      <c r="B137">
        <v>4087.78</v>
      </c>
      <c r="C137">
        <v>4089.67</v>
      </c>
      <c r="D137">
        <v>4049.35</v>
      </c>
      <c r="E137">
        <v>4055.99</v>
      </c>
      <c r="F137">
        <v>4055.99</v>
      </c>
      <c r="G137">
        <v>3837030000</v>
      </c>
      <c r="H137" s="1">
        <f t="shared" si="6"/>
        <v>-79.360000000000582</v>
      </c>
      <c r="I137" s="3">
        <f t="shared" si="7"/>
        <v>-1.9190636826387265E-2</v>
      </c>
    </row>
    <row r="138" spans="1:9" x14ac:dyDescent="0.25">
      <c r="A138" t="s">
        <v>144</v>
      </c>
      <c r="B138">
        <v>4126.43</v>
      </c>
      <c r="C138">
        <v>4126.43</v>
      </c>
      <c r="D138">
        <v>4071.38</v>
      </c>
      <c r="E138">
        <v>4071.63</v>
      </c>
      <c r="F138">
        <v>4071.63</v>
      </c>
      <c r="G138">
        <v>3978640000</v>
      </c>
      <c r="H138" s="1">
        <f t="shared" si="6"/>
        <v>15.640000000000327</v>
      </c>
      <c r="I138" s="3">
        <f t="shared" si="7"/>
        <v>3.8560252860584785E-3</v>
      </c>
    </row>
    <row r="139" spans="1:9" x14ac:dyDescent="0.25">
      <c r="A139" t="s">
        <v>145</v>
      </c>
      <c r="B139">
        <v>4132.07</v>
      </c>
      <c r="C139">
        <v>4142.41</v>
      </c>
      <c r="D139">
        <v>4117.7700000000004</v>
      </c>
      <c r="E139">
        <v>4137.04</v>
      </c>
      <c r="F139">
        <v>4137.04</v>
      </c>
      <c r="G139">
        <v>3290940000</v>
      </c>
      <c r="H139" s="1">
        <f t="shared" si="6"/>
        <v>65.409999999999854</v>
      </c>
      <c r="I139" s="3">
        <f t="shared" si="7"/>
        <v>1.6064819249293243E-2</v>
      </c>
    </row>
    <row r="140" spans="1:9" x14ac:dyDescent="0.25">
      <c r="A140" t="s">
        <v>146</v>
      </c>
      <c r="B140">
        <v>4132.1400000000003</v>
      </c>
      <c r="C140">
        <v>4138.0200000000004</v>
      </c>
      <c r="D140">
        <v>4113.8599999999997</v>
      </c>
      <c r="E140">
        <v>4133.5200000000004</v>
      </c>
      <c r="F140">
        <v>4133.5200000000004</v>
      </c>
      <c r="G140">
        <v>3611750000</v>
      </c>
      <c r="H140" s="1">
        <f t="shared" si="6"/>
        <v>-3.5199999999995271</v>
      </c>
      <c r="I140" s="3">
        <f t="shared" si="7"/>
        <v>-8.5084988300802682E-4</v>
      </c>
    </row>
    <row r="141" spans="1:9" x14ac:dyDescent="0.25">
      <c r="A141" t="s">
        <v>147</v>
      </c>
      <c r="B141">
        <v>4130.4799999999996</v>
      </c>
      <c r="C141">
        <v>4148.57</v>
      </c>
      <c r="D141">
        <v>4114.57</v>
      </c>
      <c r="E141">
        <v>4129.79</v>
      </c>
      <c r="F141">
        <v>4129.79</v>
      </c>
      <c r="G141">
        <v>3772080000</v>
      </c>
      <c r="H141" s="1">
        <f t="shared" si="6"/>
        <v>-3.7300000000004729</v>
      </c>
      <c r="I141" s="3">
        <f t="shared" si="7"/>
        <v>-9.0237860225678655E-4</v>
      </c>
    </row>
    <row r="142" spans="1:9" x14ac:dyDescent="0.25">
      <c r="A142" t="s">
        <v>148</v>
      </c>
      <c r="B142">
        <v>4139.33</v>
      </c>
      <c r="C142">
        <v>4162.57</v>
      </c>
      <c r="D142">
        <v>4134.49</v>
      </c>
      <c r="E142">
        <v>4154.5200000000004</v>
      </c>
      <c r="F142">
        <v>4154.5200000000004</v>
      </c>
      <c r="G142">
        <v>3572560000</v>
      </c>
      <c r="H142" s="1">
        <f t="shared" si="6"/>
        <v>24.730000000000473</v>
      </c>
      <c r="I142" s="3">
        <f t="shared" si="7"/>
        <v>5.9881979471112269E-3</v>
      </c>
    </row>
    <row r="143" spans="1:9" x14ac:dyDescent="0.25">
      <c r="A143" t="s">
        <v>149</v>
      </c>
      <c r="B143">
        <v>4164.26</v>
      </c>
      <c r="C143">
        <v>4169.4799999999996</v>
      </c>
      <c r="D143">
        <v>4140.3599999999997</v>
      </c>
      <c r="E143">
        <v>4154.87</v>
      </c>
      <c r="F143">
        <v>4154.87</v>
      </c>
      <c r="G143">
        <v>3536640000</v>
      </c>
      <c r="H143" s="1">
        <f t="shared" si="6"/>
        <v>0.3499999999994543</v>
      </c>
      <c r="I143" s="3">
        <f t="shared" si="7"/>
        <v>8.4245592751859238E-5</v>
      </c>
    </row>
    <row r="144" spans="1:9" x14ac:dyDescent="0.25">
      <c r="A144" t="s">
        <v>150</v>
      </c>
      <c r="B144">
        <v>4137.17</v>
      </c>
      <c r="C144">
        <v>4151.72</v>
      </c>
      <c r="D144">
        <v>4123.18</v>
      </c>
      <c r="E144">
        <v>4151.32</v>
      </c>
      <c r="F144">
        <v>4151.32</v>
      </c>
      <c r="G144">
        <v>3611180000</v>
      </c>
      <c r="H144" s="1">
        <f t="shared" si="6"/>
        <v>-3.5500000000001819</v>
      </c>
      <c r="I144" s="3">
        <f t="shared" si="7"/>
        <v>-8.5441903116106692E-4</v>
      </c>
    </row>
    <row r="145" spans="1:9" x14ac:dyDescent="0.25">
      <c r="A145" t="s">
        <v>151</v>
      </c>
      <c r="B145">
        <v>4140.1099999999997</v>
      </c>
      <c r="C145">
        <v>4163.1899999999996</v>
      </c>
      <c r="D145">
        <v>4113.2</v>
      </c>
      <c r="E145">
        <v>4137.6400000000003</v>
      </c>
      <c r="F145">
        <v>4137.6400000000003</v>
      </c>
      <c r="G145">
        <v>3575690000</v>
      </c>
      <c r="H145" s="1">
        <f t="shared" si="6"/>
        <v>-13.679999999999382</v>
      </c>
      <c r="I145" s="3">
        <f t="shared" si="7"/>
        <v>-3.2953373866624067E-3</v>
      </c>
    </row>
    <row r="146" spans="1:9" x14ac:dyDescent="0.25">
      <c r="A146" t="s">
        <v>152</v>
      </c>
      <c r="B146">
        <v>4100.04</v>
      </c>
      <c r="C146">
        <v>4150.26</v>
      </c>
      <c r="D146">
        <v>4099.3999999999996</v>
      </c>
      <c r="E146">
        <v>4146.22</v>
      </c>
      <c r="F146">
        <v>4146.22</v>
      </c>
      <c r="G146">
        <v>3596590000</v>
      </c>
      <c r="H146" s="1">
        <f t="shared" si="6"/>
        <v>8.5799999999999272</v>
      </c>
      <c r="I146" s="3">
        <f t="shared" si="7"/>
        <v>2.0736458464245141E-3</v>
      </c>
    </row>
    <row r="147" spans="1:9" x14ac:dyDescent="0.25">
      <c r="A147" t="s">
        <v>153</v>
      </c>
      <c r="B147">
        <v>4121.72</v>
      </c>
      <c r="C147">
        <v>4134.37</v>
      </c>
      <c r="D147">
        <v>4086.94</v>
      </c>
      <c r="E147">
        <v>4091.95</v>
      </c>
      <c r="F147">
        <v>4091.95</v>
      </c>
      <c r="G147">
        <v>3633120000</v>
      </c>
      <c r="H147" s="1">
        <f t="shared" si="6"/>
        <v>-54.270000000000437</v>
      </c>
      <c r="I147" s="3">
        <f t="shared" si="7"/>
        <v>-1.3089030490422706E-2</v>
      </c>
    </row>
    <row r="148" spans="1:9" x14ac:dyDescent="0.25">
      <c r="A148" t="s">
        <v>154</v>
      </c>
      <c r="B148">
        <v>4110.29</v>
      </c>
      <c r="C148">
        <v>4124.26</v>
      </c>
      <c r="D148">
        <v>4102.6099999999997</v>
      </c>
      <c r="E148">
        <v>4108.9399999999996</v>
      </c>
      <c r="F148">
        <v>4108.9399999999996</v>
      </c>
      <c r="G148">
        <v>3665830000</v>
      </c>
      <c r="H148" s="1">
        <f t="shared" si="6"/>
        <v>16.989999999999782</v>
      </c>
      <c r="I148" s="3">
        <f t="shared" si="7"/>
        <v>4.1520546438738948E-3</v>
      </c>
    </row>
    <row r="149" spans="1:9" x14ac:dyDescent="0.25">
      <c r="A149" t="s">
        <v>155</v>
      </c>
      <c r="B149">
        <v>4085.2</v>
      </c>
      <c r="C149">
        <v>4109.5</v>
      </c>
      <c r="D149">
        <v>4072.55</v>
      </c>
      <c r="E149">
        <v>4109.1099999999997</v>
      </c>
      <c r="F149">
        <v>4109.1099999999997</v>
      </c>
      <c r="G149">
        <v>3423650000</v>
      </c>
      <c r="H149" s="1">
        <f t="shared" si="6"/>
        <v>0.17000000000007276</v>
      </c>
      <c r="I149" s="3">
        <f t="shared" si="7"/>
        <v>4.1373200874209111E-5</v>
      </c>
    </row>
    <row r="150" spans="1:9" x14ac:dyDescent="0.25">
      <c r="A150" t="s">
        <v>156</v>
      </c>
      <c r="B150">
        <v>4081.15</v>
      </c>
      <c r="C150">
        <v>4107.32</v>
      </c>
      <c r="D150">
        <v>4069.84</v>
      </c>
      <c r="E150">
        <v>4105.0200000000004</v>
      </c>
      <c r="F150">
        <v>4105.0200000000004</v>
      </c>
      <c r="G150">
        <v>3486690000</v>
      </c>
      <c r="H150" s="1">
        <f t="shared" si="6"/>
        <v>-4.089999999999236</v>
      </c>
      <c r="I150" s="3">
        <f t="shared" si="7"/>
        <v>-9.9534935788996547E-4</v>
      </c>
    </row>
    <row r="151" spans="1:9" x14ac:dyDescent="0.25">
      <c r="A151" t="s">
        <v>157</v>
      </c>
      <c r="B151">
        <v>4094.5</v>
      </c>
      <c r="C151">
        <v>4099.6899999999996</v>
      </c>
      <c r="D151">
        <v>4072.56</v>
      </c>
      <c r="E151">
        <v>4090.38</v>
      </c>
      <c r="F151">
        <v>4090.38</v>
      </c>
      <c r="G151">
        <v>3968020000</v>
      </c>
      <c r="H151" s="1">
        <f t="shared" si="6"/>
        <v>-14.640000000000327</v>
      </c>
      <c r="I151" s="3">
        <f t="shared" si="7"/>
        <v>-3.5663650847012501E-3</v>
      </c>
    </row>
    <row r="152" spans="1:9" x14ac:dyDescent="0.25">
      <c r="A152" t="s">
        <v>158</v>
      </c>
      <c r="B152">
        <v>4128.03</v>
      </c>
      <c r="C152">
        <v>4133.13</v>
      </c>
      <c r="D152">
        <v>4086.87</v>
      </c>
      <c r="E152">
        <v>4100.6000000000004</v>
      </c>
      <c r="F152">
        <v>4100.6000000000004</v>
      </c>
      <c r="G152">
        <v>4227800000</v>
      </c>
      <c r="H152" s="1">
        <f t="shared" si="6"/>
        <v>10.220000000000255</v>
      </c>
      <c r="I152" s="3">
        <f t="shared" si="7"/>
        <v>2.4985453674231379E-3</v>
      </c>
    </row>
    <row r="153" spans="1:9" x14ac:dyDescent="0.25">
      <c r="A153" t="s">
        <v>159</v>
      </c>
      <c r="B153">
        <v>4102.2</v>
      </c>
      <c r="C153">
        <v>4127.66</v>
      </c>
      <c r="D153">
        <v>4098.79</v>
      </c>
      <c r="E153">
        <v>4124.51</v>
      </c>
      <c r="F153">
        <v>4124.51</v>
      </c>
      <c r="G153">
        <v>4234700000</v>
      </c>
      <c r="H153" s="1">
        <f t="shared" si="6"/>
        <v>23.909999999999854</v>
      </c>
      <c r="I153" s="3">
        <f t="shared" si="7"/>
        <v>5.830854021362691E-3</v>
      </c>
    </row>
    <row r="154" spans="1:9" x14ac:dyDescent="0.25">
      <c r="A154" t="s">
        <v>160</v>
      </c>
      <c r="B154">
        <v>4056.18</v>
      </c>
      <c r="C154">
        <v>4110.75</v>
      </c>
      <c r="D154">
        <v>4056.18</v>
      </c>
      <c r="E154">
        <v>4109.3100000000004</v>
      </c>
      <c r="F154">
        <v>4109.3100000000004</v>
      </c>
      <c r="G154">
        <v>4525120000</v>
      </c>
      <c r="H154" s="1">
        <f t="shared" si="6"/>
        <v>-15.199999999999818</v>
      </c>
      <c r="I154" s="3">
        <f t="shared" si="7"/>
        <v>-3.6852862521850639E-3</v>
      </c>
    </row>
    <row r="155" spans="1:9" x14ac:dyDescent="0.25">
      <c r="A155" t="s">
        <v>161</v>
      </c>
      <c r="B155">
        <v>4046.74</v>
      </c>
      <c r="C155">
        <v>4057.85</v>
      </c>
      <c r="D155">
        <v>4032.1</v>
      </c>
      <c r="E155">
        <v>4050.83</v>
      </c>
      <c r="F155">
        <v>4050.83</v>
      </c>
      <c r="G155">
        <v>3930860000</v>
      </c>
      <c r="H155" s="1">
        <f t="shared" si="6"/>
        <v>-58.480000000000473</v>
      </c>
      <c r="I155" s="3">
        <f t="shared" si="7"/>
        <v>-1.4231099624997984E-2</v>
      </c>
    </row>
    <row r="156" spans="1:9" x14ac:dyDescent="0.25">
      <c r="A156" t="s">
        <v>162</v>
      </c>
      <c r="B156">
        <v>3999.53</v>
      </c>
      <c r="C156">
        <v>4030.59</v>
      </c>
      <c r="D156">
        <v>3999.53</v>
      </c>
      <c r="E156">
        <v>4027.81</v>
      </c>
      <c r="F156">
        <v>4027.81</v>
      </c>
      <c r="G156">
        <v>4145250000</v>
      </c>
      <c r="H156" s="1">
        <f t="shared" si="6"/>
        <v>-23.019999999999982</v>
      </c>
      <c r="I156" s="3">
        <f t="shared" si="7"/>
        <v>-5.6827859969438314E-3</v>
      </c>
    </row>
    <row r="157" spans="1:9" x14ac:dyDescent="0.25">
      <c r="A157" t="s">
        <v>163</v>
      </c>
      <c r="B157">
        <v>3974.13</v>
      </c>
      <c r="C157">
        <v>3979.2</v>
      </c>
      <c r="D157">
        <v>3951.53</v>
      </c>
      <c r="E157">
        <v>3971.27</v>
      </c>
      <c r="F157">
        <v>3971.27</v>
      </c>
      <c r="G157">
        <v>4014600000</v>
      </c>
      <c r="H157" s="1">
        <f t="shared" si="6"/>
        <v>-56.539999999999964</v>
      </c>
      <c r="I157" s="3">
        <f t="shared" si="7"/>
        <v>-1.4037404942139764E-2</v>
      </c>
    </row>
    <row r="158" spans="1:9" x14ac:dyDescent="0.25">
      <c r="A158" t="s">
        <v>164</v>
      </c>
      <c r="B158">
        <v>3982.93</v>
      </c>
      <c r="C158">
        <v>4003.83</v>
      </c>
      <c r="D158">
        <v>3970.49</v>
      </c>
      <c r="E158">
        <v>3977.53</v>
      </c>
      <c r="F158">
        <v>3977.53</v>
      </c>
      <c r="G158">
        <v>4233540000</v>
      </c>
      <c r="H158" s="1">
        <f t="shared" si="6"/>
        <v>6.2600000000002183</v>
      </c>
      <c r="I158" s="3">
        <f t="shared" si="7"/>
        <v>1.5763219322786459E-3</v>
      </c>
    </row>
    <row r="159" spans="1:9" x14ac:dyDescent="0.25">
      <c r="A159" t="s">
        <v>165</v>
      </c>
      <c r="B159">
        <v>3939.21</v>
      </c>
      <c r="C159">
        <v>3972.74</v>
      </c>
      <c r="D159">
        <v>3909.16</v>
      </c>
      <c r="E159">
        <v>3970.99</v>
      </c>
      <c r="F159">
        <v>3970.99</v>
      </c>
      <c r="G159">
        <v>4583970000</v>
      </c>
      <c r="H159" s="1">
        <f t="shared" si="6"/>
        <v>-6.5400000000004184</v>
      </c>
      <c r="I159" s="3">
        <f t="shared" si="7"/>
        <v>-1.6442364985306001E-3</v>
      </c>
    </row>
    <row r="160" spans="1:9" x14ac:dyDescent="0.25">
      <c r="A160" t="s">
        <v>166</v>
      </c>
      <c r="B160">
        <v>3959.21</v>
      </c>
      <c r="C160">
        <v>4007.66</v>
      </c>
      <c r="D160">
        <v>3919.05</v>
      </c>
      <c r="E160">
        <v>3948.72</v>
      </c>
      <c r="F160">
        <v>3948.72</v>
      </c>
      <c r="G160">
        <v>4991600000</v>
      </c>
      <c r="H160" s="1">
        <f t="shared" si="6"/>
        <v>-22.269999999999982</v>
      </c>
      <c r="I160" s="3">
        <f t="shared" si="7"/>
        <v>-5.6081732766891839E-3</v>
      </c>
    </row>
    <row r="161" spans="1:9" x14ac:dyDescent="0.25">
      <c r="A161" t="s">
        <v>167</v>
      </c>
      <c r="B161">
        <v>4002.04</v>
      </c>
      <c r="C161">
        <v>4039.49</v>
      </c>
      <c r="D161">
        <v>3936.17</v>
      </c>
      <c r="E161">
        <v>3936.97</v>
      </c>
      <c r="F161">
        <v>3936.97</v>
      </c>
      <c r="G161">
        <v>4533010000</v>
      </c>
      <c r="H161" s="1">
        <f t="shared" si="6"/>
        <v>-11.75</v>
      </c>
      <c r="I161" s="3">
        <f t="shared" si="7"/>
        <v>-2.9756478048582834E-3</v>
      </c>
    </row>
    <row r="162" spans="1:9" x14ac:dyDescent="0.25">
      <c r="A162" t="s">
        <v>168</v>
      </c>
      <c r="B162">
        <v>3975.89</v>
      </c>
      <c r="C162">
        <v>4009.08</v>
      </c>
      <c r="D162">
        <v>3971.19</v>
      </c>
      <c r="E162">
        <v>4002.87</v>
      </c>
      <c r="F162">
        <v>4002.87</v>
      </c>
      <c r="G162">
        <v>4920240000</v>
      </c>
      <c r="H162" s="1">
        <f t="shared" si="6"/>
        <v>65.900000000000091</v>
      </c>
      <c r="I162" s="3">
        <f t="shared" si="7"/>
        <v>1.6738761026881103E-2</v>
      </c>
    </row>
    <row r="163" spans="1:9" x14ac:dyDescent="0.25">
      <c r="A163" t="s">
        <v>169</v>
      </c>
      <c r="B163">
        <v>3917.47</v>
      </c>
      <c r="C163">
        <v>3956.62</v>
      </c>
      <c r="D163">
        <v>3916.89</v>
      </c>
      <c r="E163">
        <v>3951.57</v>
      </c>
      <c r="F163">
        <v>3951.57</v>
      </c>
      <c r="G163">
        <v>5347140000</v>
      </c>
      <c r="H163" s="1">
        <f t="shared" si="6"/>
        <v>-51.299999999999727</v>
      </c>
      <c r="I163" s="3">
        <f t="shared" si="7"/>
        <v>-1.281580466015627E-2</v>
      </c>
    </row>
    <row r="164" spans="1:9" x14ac:dyDescent="0.25">
      <c r="A164" t="s">
        <v>170</v>
      </c>
      <c r="B164">
        <v>3958.69</v>
      </c>
      <c r="C164">
        <v>3958.91</v>
      </c>
      <c r="D164">
        <v>3901.27</v>
      </c>
      <c r="E164">
        <v>3916.64</v>
      </c>
      <c r="F164">
        <v>3916.64</v>
      </c>
      <c r="G164">
        <v>9354280000</v>
      </c>
      <c r="H164" s="1">
        <f t="shared" si="6"/>
        <v>-34.930000000000291</v>
      </c>
      <c r="I164" s="3">
        <f t="shared" si="7"/>
        <v>-8.8395245434094022E-3</v>
      </c>
    </row>
    <row r="165" spans="1:9" x14ac:dyDescent="0.25">
      <c r="A165" t="s">
        <v>171</v>
      </c>
      <c r="B165">
        <v>3878.93</v>
      </c>
      <c r="C165">
        <v>3964.46</v>
      </c>
      <c r="D165">
        <v>3864.11</v>
      </c>
      <c r="E165">
        <v>3960.28</v>
      </c>
      <c r="F165">
        <v>3960.28</v>
      </c>
      <c r="G165">
        <v>5695790000</v>
      </c>
      <c r="H165" s="1">
        <f t="shared" si="6"/>
        <v>43.640000000000327</v>
      </c>
      <c r="I165" s="3">
        <f t="shared" si="7"/>
        <v>1.1142203521385761E-2</v>
      </c>
    </row>
    <row r="166" spans="1:9" x14ac:dyDescent="0.25">
      <c r="A166" t="s">
        <v>172</v>
      </c>
      <c r="B166">
        <v>3876.74</v>
      </c>
      <c r="C166">
        <v>3894.26</v>
      </c>
      <c r="D166">
        <v>3838.24</v>
      </c>
      <c r="E166">
        <v>3891.93</v>
      </c>
      <c r="F166">
        <v>3891.93</v>
      </c>
      <c r="G166">
        <v>6594010000</v>
      </c>
      <c r="H166" s="1">
        <f t="shared" si="6"/>
        <v>-68.350000000000364</v>
      </c>
      <c r="I166" s="3">
        <f t="shared" si="7"/>
        <v>-1.7258880685204168E-2</v>
      </c>
    </row>
    <row r="167" spans="1:9" x14ac:dyDescent="0.25">
      <c r="A167" t="s">
        <v>173</v>
      </c>
      <c r="B167">
        <v>3894.01</v>
      </c>
      <c r="C167">
        <v>3937.29</v>
      </c>
      <c r="D167">
        <v>3873.63</v>
      </c>
      <c r="E167">
        <v>3919.29</v>
      </c>
      <c r="F167">
        <v>3919.29</v>
      </c>
      <c r="G167">
        <v>5665870000</v>
      </c>
      <c r="H167" s="1">
        <f t="shared" si="6"/>
        <v>27.360000000000127</v>
      </c>
      <c r="I167" s="3">
        <f t="shared" si="7"/>
        <v>7.0299311652573734E-3</v>
      </c>
    </row>
    <row r="168" spans="1:9" x14ac:dyDescent="0.25">
      <c r="A168" t="s">
        <v>174</v>
      </c>
      <c r="B168">
        <v>3835.12</v>
      </c>
      <c r="C168">
        <v>3905.05</v>
      </c>
      <c r="D168">
        <v>3808.86</v>
      </c>
      <c r="E168">
        <v>3855.76</v>
      </c>
      <c r="F168">
        <v>3855.76</v>
      </c>
      <c r="G168">
        <v>6558020000</v>
      </c>
      <c r="H168" s="1">
        <f t="shared" si="6"/>
        <v>-63.529999999999745</v>
      </c>
      <c r="I168" s="3">
        <f t="shared" si="7"/>
        <v>-1.6209568569817426E-2</v>
      </c>
    </row>
    <row r="169" spans="1:9" x14ac:dyDescent="0.25">
      <c r="A169" t="s">
        <v>175</v>
      </c>
      <c r="B169">
        <v>3912.77</v>
      </c>
      <c r="C169">
        <v>3934.05</v>
      </c>
      <c r="D169">
        <v>3846.32</v>
      </c>
      <c r="E169">
        <v>3861.59</v>
      </c>
      <c r="F169">
        <v>3861.59</v>
      </c>
      <c r="G169">
        <v>5518190000</v>
      </c>
      <c r="H169" s="1">
        <f t="shared" si="6"/>
        <v>5.8299999999999272</v>
      </c>
      <c r="I169" s="3">
        <f t="shared" si="7"/>
        <v>1.5120235699317196E-3</v>
      </c>
    </row>
    <row r="170" spans="1:9" x14ac:dyDescent="0.25">
      <c r="A170" t="s">
        <v>176</v>
      </c>
      <c r="B170">
        <v>3998.66</v>
      </c>
      <c r="C170">
        <v>4017.81</v>
      </c>
      <c r="D170">
        <v>3908.7</v>
      </c>
      <c r="E170">
        <v>3918.32</v>
      </c>
      <c r="F170">
        <v>3918.32</v>
      </c>
      <c r="G170">
        <v>4445260000</v>
      </c>
      <c r="H170" s="1">
        <f t="shared" si="6"/>
        <v>56.730000000000018</v>
      </c>
      <c r="I170" s="3">
        <f t="shared" si="7"/>
        <v>1.4690839783612453E-2</v>
      </c>
    </row>
    <row r="171" spans="1:9" x14ac:dyDescent="0.25">
      <c r="A171" t="s">
        <v>177</v>
      </c>
      <c r="B171">
        <v>3987.55</v>
      </c>
      <c r="C171">
        <v>4000.41</v>
      </c>
      <c r="D171">
        <v>3969.76</v>
      </c>
      <c r="E171">
        <v>3992.01</v>
      </c>
      <c r="F171">
        <v>3992.01</v>
      </c>
      <c r="G171">
        <v>3535570000</v>
      </c>
      <c r="H171" s="1">
        <f t="shared" si="6"/>
        <v>73.690000000000055</v>
      </c>
      <c r="I171" s="3">
        <f t="shared" si="7"/>
        <v>1.8806529328896069E-2</v>
      </c>
    </row>
    <row r="172" spans="1:9" x14ac:dyDescent="0.25">
      <c r="A172" t="s">
        <v>178</v>
      </c>
      <c r="B172">
        <v>4048.26</v>
      </c>
      <c r="C172">
        <v>4050</v>
      </c>
      <c r="D172">
        <v>3980.31</v>
      </c>
      <c r="E172">
        <v>3986.37</v>
      </c>
      <c r="F172">
        <v>3986.37</v>
      </c>
      <c r="G172">
        <v>3922500000</v>
      </c>
      <c r="H172" s="1">
        <f t="shared" si="6"/>
        <v>-5.6400000000003274</v>
      </c>
      <c r="I172" s="3">
        <f t="shared" si="7"/>
        <v>-1.4128221121691396E-3</v>
      </c>
    </row>
    <row r="173" spans="1:9" x14ac:dyDescent="0.25">
      <c r="A173" t="s">
        <v>179</v>
      </c>
      <c r="B173">
        <v>4055.15</v>
      </c>
      <c r="C173">
        <v>4078.49</v>
      </c>
      <c r="D173">
        <v>4044.61</v>
      </c>
      <c r="E173">
        <v>4048.42</v>
      </c>
      <c r="F173">
        <v>4048.42</v>
      </c>
      <c r="G173">
        <v>4000870000</v>
      </c>
      <c r="H173" s="1">
        <f t="shared" si="6"/>
        <v>62.050000000000182</v>
      </c>
      <c r="I173" s="3">
        <f t="shared" si="7"/>
        <v>1.5565539576105627E-2</v>
      </c>
    </row>
    <row r="174" spans="1:9" x14ac:dyDescent="0.25">
      <c r="A174" t="s">
        <v>180</v>
      </c>
      <c r="B174">
        <v>3998.02</v>
      </c>
      <c r="C174">
        <v>4048.29</v>
      </c>
      <c r="D174">
        <v>3995.17</v>
      </c>
      <c r="E174">
        <v>4045.64</v>
      </c>
      <c r="F174">
        <v>4045.64</v>
      </c>
      <c r="G174">
        <v>4084730000</v>
      </c>
      <c r="H174" s="1">
        <f t="shared" si="6"/>
        <v>-2.7800000000002001</v>
      </c>
      <c r="I174" s="3">
        <f t="shared" si="7"/>
        <v>-6.8668764604467919E-4</v>
      </c>
    </row>
    <row r="175" spans="1:9" x14ac:dyDescent="0.25">
      <c r="A175" t="s">
        <v>181</v>
      </c>
      <c r="B175">
        <v>3938.68</v>
      </c>
      <c r="C175">
        <v>3990.84</v>
      </c>
      <c r="D175">
        <v>3928.16</v>
      </c>
      <c r="E175">
        <v>3981.35</v>
      </c>
      <c r="F175">
        <v>3981.35</v>
      </c>
      <c r="G175">
        <v>4244900000</v>
      </c>
      <c r="H175" s="1">
        <f t="shared" si="6"/>
        <v>-64.289999999999964</v>
      </c>
      <c r="I175" s="3">
        <f t="shared" si="7"/>
        <v>-1.589118161774156E-2</v>
      </c>
    </row>
    <row r="176" spans="1:9" x14ac:dyDescent="0.25">
      <c r="A176" t="s">
        <v>182</v>
      </c>
      <c r="B176">
        <v>3963.34</v>
      </c>
      <c r="C176">
        <v>3971.73</v>
      </c>
      <c r="D176">
        <v>3939.05</v>
      </c>
      <c r="E176">
        <v>3951.39</v>
      </c>
      <c r="F176">
        <v>3951.39</v>
      </c>
      <c r="G176">
        <v>4249480000</v>
      </c>
      <c r="H176" s="1">
        <f t="shared" si="6"/>
        <v>-29.960000000000036</v>
      </c>
      <c r="I176" s="3">
        <f t="shared" si="7"/>
        <v>-7.5250857121328283E-3</v>
      </c>
    </row>
    <row r="177" spans="1:9" x14ac:dyDescent="0.25">
      <c r="A177" t="s">
        <v>183</v>
      </c>
      <c r="B177">
        <v>3977.19</v>
      </c>
      <c r="C177">
        <v>3997.5</v>
      </c>
      <c r="D177">
        <v>3968.98</v>
      </c>
      <c r="E177">
        <v>3970.15</v>
      </c>
      <c r="F177">
        <v>3970.15</v>
      </c>
      <c r="G177">
        <v>5043400000</v>
      </c>
      <c r="H177" s="1">
        <f t="shared" si="6"/>
        <v>18.760000000000218</v>
      </c>
      <c r="I177" s="3">
        <f t="shared" si="7"/>
        <v>4.7476963802611785E-3</v>
      </c>
    </row>
    <row r="178" spans="1:9" x14ac:dyDescent="0.25">
      <c r="A178" t="s">
        <v>184</v>
      </c>
      <c r="B178">
        <v>3992.36</v>
      </c>
      <c r="C178">
        <v>4018.05</v>
      </c>
      <c r="D178">
        <v>3973.55</v>
      </c>
      <c r="E178">
        <v>3982.24</v>
      </c>
      <c r="F178">
        <v>3982.24</v>
      </c>
      <c r="G178">
        <v>3836950000</v>
      </c>
      <c r="H178" s="1">
        <f t="shared" si="6"/>
        <v>12.089999999999691</v>
      </c>
      <c r="I178" s="3">
        <f t="shared" si="7"/>
        <v>3.0452249914989836E-3</v>
      </c>
    </row>
    <row r="179" spans="1:9" x14ac:dyDescent="0.25">
      <c r="A179" t="s">
        <v>185</v>
      </c>
      <c r="B179">
        <v>3973.24</v>
      </c>
      <c r="C179">
        <v>3978.25</v>
      </c>
      <c r="D179">
        <v>3943.08</v>
      </c>
      <c r="E179">
        <v>3970.04</v>
      </c>
      <c r="F179">
        <v>3970.04</v>
      </c>
      <c r="G179">
        <v>3877700000</v>
      </c>
      <c r="H179" s="1">
        <f t="shared" si="6"/>
        <v>-12.199999999999818</v>
      </c>
      <c r="I179" s="3">
        <f t="shared" si="7"/>
        <v>-3.0636023946321212E-3</v>
      </c>
    </row>
    <row r="180" spans="1:9" x14ac:dyDescent="0.25">
      <c r="A180" t="s">
        <v>186</v>
      </c>
      <c r="B180">
        <v>4018.6</v>
      </c>
      <c r="C180">
        <v>4028.3</v>
      </c>
      <c r="D180">
        <v>3969.19</v>
      </c>
      <c r="E180">
        <v>4012.32</v>
      </c>
      <c r="F180">
        <v>4012.32</v>
      </c>
      <c r="G180">
        <v>3952940000</v>
      </c>
      <c r="H180" s="1">
        <f t="shared" si="6"/>
        <v>42.2800000000002</v>
      </c>
      <c r="I180" s="3">
        <f t="shared" si="7"/>
        <v>1.0649766752979869E-2</v>
      </c>
    </row>
    <row r="181" spans="1:9" x14ac:dyDescent="0.25">
      <c r="A181" t="s">
        <v>187</v>
      </c>
      <c r="B181">
        <v>4001.83</v>
      </c>
      <c r="C181">
        <v>4017.37</v>
      </c>
      <c r="D181">
        <v>3976.9</v>
      </c>
      <c r="E181">
        <v>3991.05</v>
      </c>
      <c r="F181">
        <v>3991.05</v>
      </c>
      <c r="G181">
        <v>4079320000</v>
      </c>
      <c r="H181" s="1">
        <f t="shared" si="6"/>
        <v>-21.269999999999982</v>
      </c>
      <c r="I181" s="3">
        <f t="shared" si="7"/>
        <v>-5.3011723890417466E-3</v>
      </c>
    </row>
    <row r="182" spans="1:9" x14ac:dyDescent="0.25">
      <c r="A182" t="s">
        <v>188</v>
      </c>
      <c r="B182">
        <v>4052.35</v>
      </c>
      <c r="C182">
        <v>4052.35</v>
      </c>
      <c r="D182">
        <v>3995.19</v>
      </c>
      <c r="E182">
        <v>3997.34</v>
      </c>
      <c r="F182">
        <v>3997.34</v>
      </c>
      <c r="G182">
        <v>4121590000</v>
      </c>
      <c r="H182" s="1">
        <f t="shared" si="6"/>
        <v>6.2899999999999636</v>
      </c>
      <c r="I182" s="3">
        <f t="shared" si="7"/>
        <v>1.5760263589782045E-3</v>
      </c>
    </row>
    <row r="183" spans="1:9" x14ac:dyDescent="0.25">
      <c r="A183" t="s">
        <v>189</v>
      </c>
      <c r="B183">
        <v>4077.39</v>
      </c>
      <c r="C183">
        <v>4081.51</v>
      </c>
      <c r="D183">
        <v>4047.95</v>
      </c>
      <c r="E183">
        <v>4079.09</v>
      </c>
      <c r="F183">
        <v>4079.09</v>
      </c>
      <c r="G183">
        <v>4045480000</v>
      </c>
      <c r="H183" s="1">
        <f t="shared" si="6"/>
        <v>81.75</v>
      </c>
      <c r="I183" s="3">
        <f t="shared" si="7"/>
        <v>2.045109998148769E-2</v>
      </c>
    </row>
    <row r="184" spans="1:9" x14ac:dyDescent="0.25">
      <c r="A184" t="s">
        <v>190</v>
      </c>
      <c r="B184">
        <v>4114.75</v>
      </c>
      <c r="C184">
        <v>4136.54</v>
      </c>
      <c r="D184">
        <v>4089.49</v>
      </c>
      <c r="E184">
        <v>4090.41</v>
      </c>
      <c r="F184">
        <v>4090.41</v>
      </c>
      <c r="G184">
        <v>4143660000</v>
      </c>
      <c r="H184" s="1">
        <f t="shared" si="6"/>
        <v>11.319999999999709</v>
      </c>
      <c r="I184" s="3">
        <f t="shared" si="7"/>
        <v>2.7751287664649978E-3</v>
      </c>
    </row>
    <row r="185" spans="1:9" x14ac:dyDescent="0.25">
      <c r="A185" t="s">
        <v>191</v>
      </c>
      <c r="B185">
        <v>4119.5</v>
      </c>
      <c r="C185">
        <v>4148.1099999999997</v>
      </c>
      <c r="D185">
        <v>4103.9799999999996</v>
      </c>
      <c r="E185">
        <v>4147.6000000000004</v>
      </c>
      <c r="F185">
        <v>4147.6000000000004</v>
      </c>
      <c r="G185">
        <v>4075980000</v>
      </c>
      <c r="H185" s="1">
        <f t="shared" si="6"/>
        <v>57.190000000000509</v>
      </c>
      <c r="I185" s="3">
        <f t="shared" si="7"/>
        <v>1.3981483518767192E-2</v>
      </c>
    </row>
    <row r="186" spans="1:9" x14ac:dyDescent="0.25">
      <c r="A186" t="s">
        <v>192</v>
      </c>
      <c r="B186">
        <v>4126.7</v>
      </c>
      <c r="C186">
        <v>4159.7700000000004</v>
      </c>
      <c r="D186">
        <v>4095.01</v>
      </c>
      <c r="E186">
        <v>4136.13</v>
      </c>
      <c r="F186">
        <v>4136.13</v>
      </c>
      <c r="G186">
        <v>3929200000</v>
      </c>
      <c r="H186" s="1">
        <f t="shared" si="6"/>
        <v>-11.470000000000255</v>
      </c>
      <c r="I186" s="3">
        <f t="shared" si="7"/>
        <v>-2.765454720802453E-3</v>
      </c>
    </row>
    <row r="187" spans="1:9" x14ac:dyDescent="0.25">
      <c r="A187" t="s">
        <v>193</v>
      </c>
      <c r="B187">
        <v>4096.62</v>
      </c>
      <c r="C187">
        <v>4138.8999999999996</v>
      </c>
      <c r="D187">
        <v>4092.67</v>
      </c>
      <c r="E187">
        <v>4137.29</v>
      </c>
      <c r="F187">
        <v>4137.29</v>
      </c>
      <c r="G187">
        <v>3448620000</v>
      </c>
      <c r="H187" s="1">
        <f t="shared" si="6"/>
        <v>1.1599999999998545</v>
      </c>
      <c r="I187" s="3">
        <f t="shared" si="7"/>
        <v>2.8045540154682144E-4</v>
      </c>
    </row>
    <row r="188" spans="1:9" x14ac:dyDescent="0.25">
      <c r="A188" t="s">
        <v>194</v>
      </c>
      <c r="B188">
        <v>4068.92</v>
      </c>
      <c r="C188">
        <v>4094.36</v>
      </c>
      <c r="D188">
        <v>4060.79</v>
      </c>
      <c r="E188">
        <v>4090.46</v>
      </c>
      <c r="F188">
        <v>4090.46</v>
      </c>
      <c r="G188">
        <v>3891520000</v>
      </c>
      <c r="H188" s="1">
        <f t="shared" si="6"/>
        <v>-46.829999999999927</v>
      </c>
      <c r="I188" s="3">
        <f t="shared" si="7"/>
        <v>-1.1319003502292545E-2</v>
      </c>
    </row>
    <row r="189" spans="1:9" x14ac:dyDescent="0.25">
      <c r="A189" t="s">
        <v>195</v>
      </c>
      <c r="B189">
        <v>4144.25</v>
      </c>
      <c r="C189">
        <v>4156.2299999999996</v>
      </c>
      <c r="D189">
        <v>4069.67</v>
      </c>
      <c r="E189">
        <v>4081.5</v>
      </c>
      <c r="F189">
        <v>4081.5</v>
      </c>
      <c r="G189">
        <v>4270200000</v>
      </c>
      <c r="H189" s="1">
        <f t="shared" si="6"/>
        <v>-8.9600000000000364</v>
      </c>
      <c r="I189" s="3">
        <f t="shared" si="7"/>
        <v>-2.1904626863482437E-3</v>
      </c>
    </row>
    <row r="190" spans="1:9" x14ac:dyDescent="0.25">
      <c r="A190" t="s">
        <v>196</v>
      </c>
      <c r="B190">
        <v>4153.47</v>
      </c>
      <c r="C190">
        <v>4156.8500000000004</v>
      </c>
      <c r="D190">
        <v>4111.67</v>
      </c>
      <c r="E190">
        <v>4117.8599999999997</v>
      </c>
      <c r="F190">
        <v>4117.8599999999997</v>
      </c>
      <c r="G190">
        <v>4029820000</v>
      </c>
      <c r="H190" s="1">
        <f t="shared" si="6"/>
        <v>36.359999999999673</v>
      </c>
      <c r="I190" s="3">
        <f t="shared" si="7"/>
        <v>8.9084895259095125E-3</v>
      </c>
    </row>
    <row r="191" spans="1:9" x14ac:dyDescent="0.25">
      <c r="A191" t="s">
        <v>197</v>
      </c>
      <c r="B191">
        <v>4105.3500000000004</v>
      </c>
      <c r="C191">
        <v>4176.54</v>
      </c>
      <c r="D191">
        <v>4088.39</v>
      </c>
      <c r="E191">
        <v>4164</v>
      </c>
      <c r="F191">
        <v>4164</v>
      </c>
      <c r="G191">
        <v>4355860000</v>
      </c>
      <c r="H191" s="1">
        <f t="shared" si="6"/>
        <v>46.140000000000327</v>
      </c>
      <c r="I191" s="3">
        <f t="shared" si="7"/>
        <v>1.1204849120659841E-2</v>
      </c>
    </row>
    <row r="192" spans="1:9" x14ac:dyDescent="0.25">
      <c r="A192" t="s">
        <v>198</v>
      </c>
      <c r="B192">
        <v>4119.57</v>
      </c>
      <c r="C192">
        <v>4124.63</v>
      </c>
      <c r="D192">
        <v>4093.38</v>
      </c>
      <c r="E192">
        <v>4111.08</v>
      </c>
      <c r="F192">
        <v>4111.08</v>
      </c>
      <c r="G192">
        <v>4114240000</v>
      </c>
      <c r="H192" s="1">
        <f t="shared" si="6"/>
        <v>-52.920000000000073</v>
      </c>
      <c r="I192" s="3">
        <f t="shared" si="7"/>
        <v>-1.2708933717579269E-2</v>
      </c>
    </row>
    <row r="193" spans="1:9" x14ac:dyDescent="0.25">
      <c r="A193" t="s">
        <v>199</v>
      </c>
      <c r="B193">
        <v>4136.6899999999996</v>
      </c>
      <c r="C193">
        <v>4182.3599999999997</v>
      </c>
      <c r="D193">
        <v>4123.3599999999997</v>
      </c>
      <c r="E193">
        <v>4136.4799999999996</v>
      </c>
      <c r="F193">
        <v>4136.4799999999996</v>
      </c>
      <c r="G193">
        <v>4694510000</v>
      </c>
      <c r="H193" s="1">
        <f t="shared" si="6"/>
        <v>25.399999999999636</v>
      </c>
      <c r="I193" s="3">
        <f t="shared" si="7"/>
        <v>6.1784251340279532E-3</v>
      </c>
    </row>
    <row r="194" spans="1:9" x14ac:dyDescent="0.25">
      <c r="A194" t="s">
        <v>200</v>
      </c>
      <c r="B194">
        <v>4158.68</v>
      </c>
      <c r="C194">
        <v>4195.4399999999996</v>
      </c>
      <c r="D194">
        <v>4141.88</v>
      </c>
      <c r="E194">
        <v>4179.76</v>
      </c>
      <c r="F194">
        <v>4179.76</v>
      </c>
      <c r="G194">
        <v>5624360000</v>
      </c>
      <c r="H194" s="1">
        <f t="shared" si="6"/>
        <v>43.280000000000655</v>
      </c>
      <c r="I194" s="3">
        <f t="shared" si="7"/>
        <v>1.0463002359494222E-2</v>
      </c>
    </row>
    <row r="195" spans="1:9" x14ac:dyDescent="0.25">
      <c r="A195" t="s">
        <v>201</v>
      </c>
      <c r="B195">
        <v>4070.07</v>
      </c>
      <c r="C195">
        <v>4148.95</v>
      </c>
      <c r="D195">
        <v>4037.2</v>
      </c>
      <c r="E195">
        <v>4119.21</v>
      </c>
      <c r="F195">
        <v>4119.21</v>
      </c>
      <c r="G195">
        <v>4856930000</v>
      </c>
      <c r="H195" s="1">
        <f t="shared" si="6"/>
        <v>-60.550000000000182</v>
      </c>
      <c r="I195" s="3">
        <f t="shared" si="7"/>
        <v>-1.4486477692499134E-2</v>
      </c>
    </row>
    <row r="196" spans="1:9" x14ac:dyDescent="0.25">
      <c r="A196" t="s">
        <v>202</v>
      </c>
      <c r="B196">
        <v>4020.85</v>
      </c>
      <c r="C196">
        <v>4077.16</v>
      </c>
      <c r="D196">
        <v>4020.44</v>
      </c>
      <c r="E196">
        <v>4076.6</v>
      </c>
      <c r="F196">
        <v>4076.6</v>
      </c>
      <c r="G196">
        <v>4679320000</v>
      </c>
      <c r="H196" s="1">
        <f t="shared" ref="H196:H253" si="8">E196-E195</f>
        <v>-42.610000000000127</v>
      </c>
      <c r="I196" s="3">
        <f t="shared" ref="I196:I253" si="9">H196/E195</f>
        <v>-1.0344216488113043E-2</v>
      </c>
    </row>
    <row r="197" spans="1:9" x14ac:dyDescent="0.25">
      <c r="A197" t="s">
        <v>203</v>
      </c>
      <c r="B197">
        <v>4049.27</v>
      </c>
      <c r="C197">
        <v>4063.85</v>
      </c>
      <c r="D197">
        <v>4015.55</v>
      </c>
      <c r="E197">
        <v>4017.77</v>
      </c>
      <c r="F197">
        <v>4017.77</v>
      </c>
      <c r="G197">
        <v>3802000000</v>
      </c>
      <c r="H197" s="1">
        <f t="shared" si="8"/>
        <v>-58.829999999999927</v>
      </c>
      <c r="I197" s="3">
        <f t="shared" si="9"/>
        <v>-1.4431143600058855E-2</v>
      </c>
    </row>
    <row r="198" spans="1:9" x14ac:dyDescent="0.25">
      <c r="A198" t="s">
        <v>204</v>
      </c>
      <c r="B198">
        <v>4053.72</v>
      </c>
      <c r="C198">
        <v>4094.21</v>
      </c>
      <c r="D198">
        <v>4048.7</v>
      </c>
      <c r="E198">
        <v>4070.56</v>
      </c>
      <c r="F198">
        <v>4070.56</v>
      </c>
      <c r="G198">
        <v>3907760000</v>
      </c>
      <c r="H198" s="1">
        <f t="shared" si="8"/>
        <v>52.789999999999964</v>
      </c>
      <c r="I198" s="3">
        <f t="shared" si="9"/>
        <v>1.313912941756247E-2</v>
      </c>
    </row>
    <row r="199" spans="1:9" x14ac:dyDescent="0.25">
      <c r="A199" t="s">
        <v>205</v>
      </c>
      <c r="B199">
        <v>4036.08</v>
      </c>
      <c r="C199">
        <v>4061.57</v>
      </c>
      <c r="D199">
        <v>4013.29</v>
      </c>
      <c r="E199">
        <v>4060.43</v>
      </c>
      <c r="F199">
        <v>4060.43</v>
      </c>
      <c r="G199">
        <v>3809590000</v>
      </c>
      <c r="H199" s="1">
        <f t="shared" si="8"/>
        <v>-10.130000000000109</v>
      </c>
      <c r="I199" s="3">
        <f t="shared" si="9"/>
        <v>-2.4886010770017171E-3</v>
      </c>
    </row>
    <row r="200" spans="1:9" x14ac:dyDescent="0.25">
      <c r="A200" t="s">
        <v>206</v>
      </c>
      <c r="B200">
        <v>3982.71</v>
      </c>
      <c r="C200">
        <v>4019.55</v>
      </c>
      <c r="D200">
        <v>3949.06</v>
      </c>
      <c r="E200">
        <v>4016.22</v>
      </c>
      <c r="F200">
        <v>4016.22</v>
      </c>
      <c r="G200">
        <v>3724020000</v>
      </c>
      <c r="H200" s="1">
        <f t="shared" si="8"/>
        <v>-44.210000000000036</v>
      </c>
      <c r="I200" s="3">
        <f t="shared" si="9"/>
        <v>-1.088800939801943E-2</v>
      </c>
    </row>
    <row r="201" spans="1:9" x14ac:dyDescent="0.25">
      <c r="A201" t="s">
        <v>207</v>
      </c>
      <c r="B201">
        <v>4001.74</v>
      </c>
      <c r="C201">
        <v>4023.92</v>
      </c>
      <c r="D201">
        <v>3989.79</v>
      </c>
      <c r="E201">
        <v>4016.95</v>
      </c>
      <c r="F201">
        <v>4016.95</v>
      </c>
      <c r="G201">
        <v>3320430000</v>
      </c>
      <c r="H201" s="1">
        <f t="shared" si="8"/>
        <v>0.73000000000001819</v>
      </c>
      <c r="I201" s="3">
        <f t="shared" si="9"/>
        <v>1.8176295123275573E-4</v>
      </c>
    </row>
    <row r="202" spans="1:9" x14ac:dyDescent="0.25">
      <c r="A202" t="s">
        <v>208</v>
      </c>
      <c r="B202">
        <v>3978.14</v>
      </c>
      <c r="C202">
        <v>4039.31</v>
      </c>
      <c r="D202">
        <v>3971.64</v>
      </c>
      <c r="E202">
        <v>4019.81</v>
      </c>
      <c r="F202">
        <v>4019.81</v>
      </c>
      <c r="G202">
        <v>3945210000</v>
      </c>
      <c r="H202" s="1">
        <f t="shared" si="8"/>
        <v>2.8600000000001273</v>
      </c>
      <c r="I202" s="3">
        <f t="shared" si="9"/>
        <v>7.1198297215552286E-4</v>
      </c>
    </row>
    <row r="203" spans="1:9" x14ac:dyDescent="0.25">
      <c r="A203" t="s">
        <v>209</v>
      </c>
      <c r="B203">
        <v>3909.04</v>
      </c>
      <c r="C203">
        <v>3972.96</v>
      </c>
      <c r="D203">
        <v>3897.86</v>
      </c>
      <c r="E203">
        <v>3972.61</v>
      </c>
      <c r="F203">
        <v>3972.61</v>
      </c>
      <c r="G203">
        <v>4013360000</v>
      </c>
      <c r="H203" s="1">
        <f t="shared" si="8"/>
        <v>-47.199999999999818</v>
      </c>
      <c r="I203" s="3">
        <f t="shared" si="9"/>
        <v>-1.1741848495326848E-2</v>
      </c>
    </row>
    <row r="204" spans="1:9" x14ac:dyDescent="0.25">
      <c r="A204" t="s">
        <v>210</v>
      </c>
      <c r="B204">
        <v>3911.84</v>
      </c>
      <c r="C204">
        <v>3922.94</v>
      </c>
      <c r="D204">
        <v>3885.54</v>
      </c>
      <c r="E204">
        <v>3898.85</v>
      </c>
      <c r="F204">
        <v>3898.85</v>
      </c>
      <c r="G204">
        <v>3991500000</v>
      </c>
      <c r="H204" s="1">
        <f t="shared" si="8"/>
        <v>-73.760000000000218</v>
      </c>
      <c r="I204" s="3">
        <f t="shared" si="9"/>
        <v>-1.856713848074697E-2</v>
      </c>
    </row>
    <row r="205" spans="1:9" x14ac:dyDescent="0.25">
      <c r="A205" t="s">
        <v>211</v>
      </c>
      <c r="B205">
        <v>4002.25</v>
      </c>
      <c r="C205">
        <v>4014.16</v>
      </c>
      <c r="D205">
        <v>3926.59</v>
      </c>
      <c r="E205">
        <v>3928.86</v>
      </c>
      <c r="F205">
        <v>3928.86</v>
      </c>
      <c r="G205">
        <v>4298710000</v>
      </c>
      <c r="H205" s="1">
        <f t="shared" si="8"/>
        <v>30.010000000000218</v>
      </c>
      <c r="I205" s="3">
        <f t="shared" si="9"/>
        <v>7.6971414647909559E-3</v>
      </c>
    </row>
    <row r="206" spans="1:9" x14ac:dyDescent="0.25">
      <c r="A206" t="s">
        <v>212</v>
      </c>
      <c r="B206">
        <v>3999.28</v>
      </c>
      <c r="C206">
        <v>4015.39</v>
      </c>
      <c r="D206">
        <v>3984.57</v>
      </c>
      <c r="E206">
        <v>3990.97</v>
      </c>
      <c r="F206">
        <v>3990.97</v>
      </c>
      <c r="G206">
        <v>4235560000</v>
      </c>
      <c r="H206" s="1">
        <f t="shared" si="8"/>
        <v>62.109999999999673</v>
      </c>
      <c r="I206" s="3">
        <f t="shared" si="9"/>
        <v>1.5808656964106552E-2</v>
      </c>
    </row>
    <row r="207" spans="1:9" x14ac:dyDescent="0.25">
      <c r="A207" t="s">
        <v>213</v>
      </c>
      <c r="B207">
        <v>3960.6</v>
      </c>
      <c r="C207">
        <v>4003.95</v>
      </c>
      <c r="D207">
        <v>3947.67</v>
      </c>
      <c r="E207">
        <v>3999.09</v>
      </c>
      <c r="F207">
        <v>3999.09</v>
      </c>
      <c r="G207">
        <v>3939700000</v>
      </c>
      <c r="H207" s="1">
        <f t="shared" si="8"/>
        <v>8.1200000000003456</v>
      </c>
      <c r="I207" s="3">
        <f t="shared" si="9"/>
        <v>2.0345930939095875E-3</v>
      </c>
    </row>
    <row r="208" spans="1:9" x14ac:dyDescent="0.25">
      <c r="A208" t="s">
        <v>214</v>
      </c>
      <c r="B208">
        <v>3977.57</v>
      </c>
      <c r="C208">
        <v>3997.76</v>
      </c>
      <c r="D208">
        <v>3937.56</v>
      </c>
      <c r="E208">
        <v>3983.17</v>
      </c>
      <c r="F208">
        <v>3983.17</v>
      </c>
      <c r="G208">
        <v>4440260000</v>
      </c>
      <c r="H208" s="1">
        <f t="shared" si="8"/>
        <v>-15.920000000000073</v>
      </c>
      <c r="I208" s="3">
        <f t="shared" si="9"/>
        <v>-3.9809056560367664E-3</v>
      </c>
    </row>
    <row r="209" spans="1:9" x14ac:dyDescent="0.25">
      <c r="A209" t="s">
        <v>215</v>
      </c>
      <c r="B209">
        <v>3932.35</v>
      </c>
      <c r="C209">
        <v>3970.07</v>
      </c>
      <c r="D209">
        <v>3928.54</v>
      </c>
      <c r="E209">
        <v>3969.61</v>
      </c>
      <c r="F209">
        <v>3969.61</v>
      </c>
      <c r="G209">
        <v>4303360000</v>
      </c>
      <c r="H209" s="1">
        <f t="shared" si="8"/>
        <v>-13.559999999999945</v>
      </c>
      <c r="I209" s="3">
        <f t="shared" si="9"/>
        <v>-3.4043236919337979E-3</v>
      </c>
    </row>
    <row r="210" spans="1:9" x14ac:dyDescent="0.25">
      <c r="A210" t="s">
        <v>216</v>
      </c>
      <c r="B210">
        <v>3888.57</v>
      </c>
      <c r="C210">
        <v>3919.83</v>
      </c>
      <c r="D210">
        <v>3877.29</v>
      </c>
      <c r="E210">
        <v>3919.25</v>
      </c>
      <c r="F210">
        <v>3919.25</v>
      </c>
      <c r="G210">
        <v>3851030000</v>
      </c>
      <c r="H210" s="1">
        <f t="shared" si="8"/>
        <v>-50.360000000000127</v>
      </c>
      <c r="I210" s="3">
        <f t="shared" si="9"/>
        <v>-1.2686384808583242E-2</v>
      </c>
    </row>
    <row r="211" spans="1:9" x14ac:dyDescent="0.25">
      <c r="A211" t="s">
        <v>217</v>
      </c>
      <c r="B211">
        <v>3910.82</v>
      </c>
      <c r="C211">
        <v>3950.57</v>
      </c>
      <c r="D211">
        <v>3890.42</v>
      </c>
      <c r="E211">
        <v>3892.09</v>
      </c>
      <c r="F211">
        <v>3892.09</v>
      </c>
      <c r="G211">
        <v>4311770000</v>
      </c>
      <c r="H211" s="1">
        <f t="shared" si="8"/>
        <v>-27.159999999999854</v>
      </c>
      <c r="I211" s="3">
        <f t="shared" si="9"/>
        <v>-6.9298973017796403E-3</v>
      </c>
    </row>
    <row r="212" spans="1:9" x14ac:dyDescent="0.25">
      <c r="A212" t="s">
        <v>218</v>
      </c>
      <c r="B212">
        <v>3823.37</v>
      </c>
      <c r="C212">
        <v>3906.19</v>
      </c>
      <c r="D212">
        <v>3809.56</v>
      </c>
      <c r="E212">
        <v>3895.08</v>
      </c>
      <c r="F212">
        <v>3895.08</v>
      </c>
      <c r="G212">
        <v>3923560000</v>
      </c>
      <c r="H212" s="1">
        <f t="shared" si="8"/>
        <v>2.9899999999997817</v>
      </c>
      <c r="I212" s="3">
        <f t="shared" si="9"/>
        <v>7.6822478411336362E-4</v>
      </c>
    </row>
    <row r="213" spans="1:9" x14ac:dyDescent="0.25">
      <c r="A213" t="s">
        <v>219</v>
      </c>
      <c r="B213">
        <v>3839.74</v>
      </c>
      <c r="C213">
        <v>3839.74</v>
      </c>
      <c r="D213">
        <v>3802.42</v>
      </c>
      <c r="E213">
        <v>3808.1</v>
      </c>
      <c r="F213">
        <v>3808.1</v>
      </c>
      <c r="G213">
        <v>3893450000</v>
      </c>
      <c r="H213" s="1">
        <f t="shared" si="8"/>
        <v>-86.980000000000018</v>
      </c>
      <c r="I213" s="3">
        <f t="shared" si="9"/>
        <v>-2.2330735183872994E-2</v>
      </c>
    </row>
    <row r="214" spans="1:9" x14ac:dyDescent="0.25">
      <c r="A214" t="s">
        <v>220</v>
      </c>
      <c r="B214">
        <v>3840.36</v>
      </c>
      <c r="C214">
        <v>3873.16</v>
      </c>
      <c r="D214">
        <v>3815.77</v>
      </c>
      <c r="E214">
        <v>3852.97</v>
      </c>
      <c r="F214">
        <v>3852.97</v>
      </c>
      <c r="G214">
        <v>4414080000</v>
      </c>
      <c r="H214" s="1">
        <f t="shared" si="8"/>
        <v>44.869999999999891</v>
      </c>
      <c r="I214" s="3">
        <f t="shared" si="9"/>
        <v>1.1782778813581548E-2</v>
      </c>
    </row>
    <row r="215" spans="1:9" x14ac:dyDescent="0.25">
      <c r="A215" t="s">
        <v>221</v>
      </c>
      <c r="B215">
        <v>3853.29</v>
      </c>
      <c r="C215">
        <v>3878.46</v>
      </c>
      <c r="D215">
        <v>3794.33</v>
      </c>
      <c r="E215">
        <v>3824.14</v>
      </c>
      <c r="F215">
        <v>3824.14</v>
      </c>
      <c r="G215">
        <v>3959140000</v>
      </c>
      <c r="H215" s="1">
        <f t="shared" si="8"/>
        <v>-28.829999999999927</v>
      </c>
      <c r="I215" s="3">
        <f t="shared" si="9"/>
        <v>-7.4825394435980366E-3</v>
      </c>
    </row>
    <row r="216" spans="1:9" x14ac:dyDescent="0.25">
      <c r="A216" t="s">
        <v>222</v>
      </c>
      <c r="B216">
        <v>3829.06</v>
      </c>
      <c r="C216">
        <v>3839.85</v>
      </c>
      <c r="D216">
        <v>3800.34</v>
      </c>
      <c r="E216">
        <v>3839.5</v>
      </c>
      <c r="F216">
        <v>3839.5</v>
      </c>
      <c r="G216">
        <v>2979870000</v>
      </c>
      <c r="H216" s="1">
        <f t="shared" si="8"/>
        <v>15.360000000000127</v>
      </c>
      <c r="I216" s="3">
        <f t="shared" si="9"/>
        <v>4.01658935080832E-3</v>
      </c>
    </row>
    <row r="217" spans="1:9" x14ac:dyDescent="0.25">
      <c r="A217" t="s">
        <v>223</v>
      </c>
      <c r="B217">
        <v>3805.45</v>
      </c>
      <c r="C217">
        <v>3858.19</v>
      </c>
      <c r="D217">
        <v>3805.45</v>
      </c>
      <c r="E217">
        <v>3849.28</v>
      </c>
      <c r="F217">
        <v>3849.28</v>
      </c>
      <c r="G217">
        <v>3003680000</v>
      </c>
      <c r="H217" s="1">
        <f t="shared" si="8"/>
        <v>9.7800000000002001</v>
      </c>
      <c r="I217" s="3">
        <f t="shared" si="9"/>
        <v>2.5472066675348874E-3</v>
      </c>
    </row>
    <row r="218" spans="1:9" x14ac:dyDescent="0.25">
      <c r="A218" t="s">
        <v>224</v>
      </c>
      <c r="B218">
        <v>3829.56</v>
      </c>
      <c r="C218">
        <v>3848.32</v>
      </c>
      <c r="D218">
        <v>3780.78</v>
      </c>
      <c r="E218">
        <v>3783.22</v>
      </c>
      <c r="F218">
        <v>3783.22</v>
      </c>
      <c r="G218">
        <v>3083520000</v>
      </c>
      <c r="H218" s="1">
        <f t="shared" si="8"/>
        <v>-66.0600000000004</v>
      </c>
      <c r="I218" s="3">
        <f t="shared" si="9"/>
        <v>-1.7161651010059127E-2</v>
      </c>
    </row>
    <row r="219" spans="1:9" x14ac:dyDescent="0.25">
      <c r="A219" t="s">
        <v>225</v>
      </c>
      <c r="B219">
        <v>3843.34</v>
      </c>
      <c r="C219">
        <v>3846.65</v>
      </c>
      <c r="D219">
        <v>3813.22</v>
      </c>
      <c r="E219">
        <v>3829.25</v>
      </c>
      <c r="F219">
        <v>3829.25</v>
      </c>
      <c r="G219">
        <v>3030300000</v>
      </c>
      <c r="H219" s="1">
        <f t="shared" si="8"/>
        <v>46.0300000000002</v>
      </c>
      <c r="I219" s="3">
        <f t="shared" si="9"/>
        <v>1.2166884294331338E-2</v>
      </c>
    </row>
    <row r="220" spans="1:9" x14ac:dyDescent="0.25">
      <c r="A220" t="s">
        <v>226</v>
      </c>
      <c r="B220">
        <v>3815.11</v>
      </c>
      <c r="C220">
        <v>3845.8</v>
      </c>
      <c r="D220">
        <v>3797.01</v>
      </c>
      <c r="E220">
        <v>3844.82</v>
      </c>
      <c r="F220">
        <v>3844.82</v>
      </c>
      <c r="G220">
        <v>2819280000</v>
      </c>
      <c r="H220" s="1">
        <f t="shared" si="8"/>
        <v>15.570000000000164</v>
      </c>
      <c r="I220" s="3">
        <f t="shared" si="9"/>
        <v>4.0660703793171417E-3</v>
      </c>
    </row>
    <row r="221" spans="1:9" x14ac:dyDescent="0.25">
      <c r="A221" t="s">
        <v>227</v>
      </c>
      <c r="B221">
        <v>3853.26</v>
      </c>
      <c r="C221">
        <v>3853.26</v>
      </c>
      <c r="D221">
        <v>3764.49</v>
      </c>
      <c r="E221">
        <v>3822.39</v>
      </c>
      <c r="F221">
        <v>3822.39</v>
      </c>
      <c r="G221">
        <v>3956950000</v>
      </c>
      <c r="H221" s="1">
        <f t="shared" si="8"/>
        <v>-22.430000000000291</v>
      </c>
      <c r="I221" s="3">
        <f t="shared" si="9"/>
        <v>-5.8338231698753882E-3</v>
      </c>
    </row>
    <row r="222" spans="1:9" x14ac:dyDescent="0.25">
      <c r="A222" t="s">
        <v>228</v>
      </c>
      <c r="B222">
        <v>3839.49</v>
      </c>
      <c r="C222">
        <v>3889.82</v>
      </c>
      <c r="D222">
        <v>3839.49</v>
      </c>
      <c r="E222">
        <v>3878.44</v>
      </c>
      <c r="F222">
        <v>3878.44</v>
      </c>
      <c r="G222">
        <v>3775200000</v>
      </c>
      <c r="H222" s="1">
        <f t="shared" si="8"/>
        <v>56.050000000000182</v>
      </c>
      <c r="I222" s="3">
        <f t="shared" si="9"/>
        <v>1.4663600522186428E-2</v>
      </c>
    </row>
    <row r="223" spans="1:9" x14ac:dyDescent="0.25">
      <c r="A223" t="s">
        <v>229</v>
      </c>
      <c r="B223">
        <v>3810.47</v>
      </c>
      <c r="C223">
        <v>3838.24</v>
      </c>
      <c r="D223">
        <v>3795.62</v>
      </c>
      <c r="E223">
        <v>3821.62</v>
      </c>
      <c r="F223">
        <v>3821.62</v>
      </c>
      <c r="G223">
        <v>3985370000</v>
      </c>
      <c r="H223" s="1">
        <f t="shared" si="8"/>
        <v>-56.820000000000164</v>
      </c>
      <c r="I223" s="3">
        <f t="shared" si="9"/>
        <v>-1.4650220191623478E-2</v>
      </c>
    </row>
    <row r="224" spans="1:9" x14ac:dyDescent="0.25">
      <c r="A224" t="s">
        <v>230</v>
      </c>
      <c r="B224">
        <v>3853.79</v>
      </c>
      <c r="C224">
        <v>3854.86</v>
      </c>
      <c r="D224">
        <v>3800.04</v>
      </c>
      <c r="E224">
        <v>3817.66</v>
      </c>
      <c r="F224">
        <v>3817.66</v>
      </c>
      <c r="G224">
        <v>3969610000</v>
      </c>
      <c r="H224" s="1">
        <f t="shared" si="8"/>
        <v>-3.9600000000000364</v>
      </c>
      <c r="I224" s="3">
        <f t="shared" si="9"/>
        <v>-1.0362097749122196E-3</v>
      </c>
    </row>
    <row r="225" spans="1:9" x14ac:dyDescent="0.25">
      <c r="A225" t="s">
        <v>231</v>
      </c>
      <c r="B225">
        <v>3890.91</v>
      </c>
      <c r="C225">
        <v>3890.91</v>
      </c>
      <c r="D225">
        <v>3827.91</v>
      </c>
      <c r="E225">
        <v>3852.36</v>
      </c>
      <c r="F225">
        <v>3852.36</v>
      </c>
      <c r="G225">
        <v>7493660000</v>
      </c>
      <c r="H225" s="1">
        <f t="shared" si="8"/>
        <v>34.700000000000273</v>
      </c>
      <c r="I225" s="3">
        <f t="shared" si="9"/>
        <v>9.089337447546475E-3</v>
      </c>
    </row>
    <row r="226" spans="1:9" x14ac:dyDescent="0.25">
      <c r="A226" t="s">
        <v>232</v>
      </c>
      <c r="B226">
        <v>3958.37</v>
      </c>
      <c r="C226">
        <v>3958.37</v>
      </c>
      <c r="D226">
        <v>3879.45</v>
      </c>
      <c r="E226">
        <v>3895.75</v>
      </c>
      <c r="F226">
        <v>3895.75</v>
      </c>
      <c r="G226">
        <v>4493900000</v>
      </c>
      <c r="H226" s="1">
        <f t="shared" si="8"/>
        <v>43.389999999999873</v>
      </c>
      <c r="I226" s="3">
        <f t="shared" si="9"/>
        <v>1.1263225659076481E-2</v>
      </c>
    </row>
    <row r="227" spans="1:9" x14ac:dyDescent="0.25">
      <c r="A227" t="s">
        <v>233</v>
      </c>
      <c r="B227">
        <v>4015.54</v>
      </c>
      <c r="C227">
        <v>4053.76</v>
      </c>
      <c r="D227">
        <v>3965.65</v>
      </c>
      <c r="E227">
        <v>3995.32</v>
      </c>
      <c r="F227">
        <v>3995.32</v>
      </c>
      <c r="G227">
        <v>4472340000</v>
      </c>
      <c r="H227" s="1">
        <f t="shared" si="8"/>
        <v>99.570000000000164</v>
      </c>
      <c r="I227" s="3">
        <f t="shared" si="9"/>
        <v>2.5558621574793085E-2</v>
      </c>
    </row>
    <row r="228" spans="1:9" x14ac:dyDescent="0.25">
      <c r="A228" t="s">
        <v>234</v>
      </c>
      <c r="B228">
        <v>4069.38</v>
      </c>
      <c r="C228">
        <v>4100.96</v>
      </c>
      <c r="D228">
        <v>3993.03</v>
      </c>
      <c r="E228">
        <v>4019.65</v>
      </c>
      <c r="F228">
        <v>4019.65</v>
      </c>
      <c r="G228">
        <v>5079360000</v>
      </c>
      <c r="H228" s="1">
        <f t="shared" si="8"/>
        <v>24.329999999999927</v>
      </c>
      <c r="I228" s="3">
        <f t="shared" si="9"/>
        <v>6.089624861087454E-3</v>
      </c>
    </row>
    <row r="229" spans="1:9" x14ac:dyDescent="0.25">
      <c r="A229" t="s">
        <v>235</v>
      </c>
      <c r="B229">
        <v>3939.29</v>
      </c>
      <c r="C229">
        <v>3990.71</v>
      </c>
      <c r="D229">
        <v>3935.3</v>
      </c>
      <c r="E229">
        <v>3990.56</v>
      </c>
      <c r="F229">
        <v>3990.56</v>
      </c>
      <c r="G229">
        <v>3904130000</v>
      </c>
      <c r="H229" s="1">
        <f t="shared" si="8"/>
        <v>-29.090000000000146</v>
      </c>
      <c r="I229" s="3">
        <f t="shared" si="9"/>
        <v>-7.2369484905402568E-3</v>
      </c>
    </row>
    <row r="230" spans="1:9" x14ac:dyDescent="0.25">
      <c r="A230" t="s">
        <v>236</v>
      </c>
      <c r="B230">
        <v>3954.17</v>
      </c>
      <c r="C230">
        <v>3977.02</v>
      </c>
      <c r="D230">
        <v>3933.04</v>
      </c>
      <c r="E230">
        <v>3934.38</v>
      </c>
      <c r="F230">
        <v>3934.38</v>
      </c>
      <c r="G230">
        <v>3888260000</v>
      </c>
      <c r="H230" s="1">
        <f t="shared" si="8"/>
        <v>-56.179999999999836</v>
      </c>
      <c r="I230" s="3">
        <f t="shared" si="9"/>
        <v>-1.4078224610079747E-2</v>
      </c>
    </row>
    <row r="231" spans="1:9" x14ac:dyDescent="0.25">
      <c r="A231" t="s">
        <v>237</v>
      </c>
      <c r="B231">
        <v>3947.79</v>
      </c>
      <c r="C231">
        <v>3974.19</v>
      </c>
      <c r="D231">
        <v>3935.83</v>
      </c>
      <c r="E231">
        <v>3963.51</v>
      </c>
      <c r="F231">
        <v>3963.51</v>
      </c>
      <c r="G231">
        <v>4006900000</v>
      </c>
      <c r="H231" s="1">
        <f t="shared" si="8"/>
        <v>29.130000000000109</v>
      </c>
      <c r="I231" s="3">
        <f t="shared" si="9"/>
        <v>7.403961996553487E-3</v>
      </c>
    </row>
    <row r="232" spans="1:9" x14ac:dyDescent="0.25">
      <c r="A232" t="s">
        <v>238</v>
      </c>
      <c r="B232">
        <v>3933.28</v>
      </c>
      <c r="C232">
        <v>3957.57</v>
      </c>
      <c r="D232">
        <v>3922.68</v>
      </c>
      <c r="E232">
        <v>3933.92</v>
      </c>
      <c r="F232">
        <v>3933.92</v>
      </c>
      <c r="G232">
        <v>4118050000</v>
      </c>
      <c r="H232" s="1">
        <f t="shared" si="8"/>
        <v>-29.590000000000146</v>
      </c>
      <c r="I232" s="3">
        <f t="shared" si="9"/>
        <v>-7.465604981443252E-3</v>
      </c>
    </row>
    <row r="233" spans="1:9" x14ac:dyDescent="0.25">
      <c r="A233" t="s">
        <v>239</v>
      </c>
      <c r="B233">
        <v>3996.63</v>
      </c>
      <c r="C233">
        <v>4001.51</v>
      </c>
      <c r="D233">
        <v>3918.39</v>
      </c>
      <c r="E233">
        <v>3941.26</v>
      </c>
      <c r="F233">
        <v>3941.26</v>
      </c>
      <c r="G233">
        <v>4368380000</v>
      </c>
      <c r="H233" s="1">
        <f t="shared" si="8"/>
        <v>7.3400000000001455</v>
      </c>
      <c r="I233" s="3">
        <f t="shared" si="9"/>
        <v>1.8658234026111729E-3</v>
      </c>
    </row>
    <row r="234" spans="1:9" x14ac:dyDescent="0.25">
      <c r="A234" t="s">
        <v>240</v>
      </c>
      <c r="B234" s="9">
        <v>4052.02</v>
      </c>
      <c r="C234">
        <v>4052.45</v>
      </c>
      <c r="D234">
        <v>3984.49</v>
      </c>
      <c r="E234">
        <v>3998.84</v>
      </c>
      <c r="F234">
        <v>3998.84</v>
      </c>
      <c r="G234">
        <v>4280820000</v>
      </c>
      <c r="H234" s="1">
        <f t="shared" si="8"/>
        <v>57.579999999999927</v>
      </c>
      <c r="I234" s="3">
        <f t="shared" si="9"/>
        <v>1.4609541111218221E-2</v>
      </c>
    </row>
    <row r="235" spans="1:9" x14ac:dyDescent="0.25">
      <c r="A235" t="s">
        <v>241</v>
      </c>
      <c r="B235" s="9">
        <v>4040.17</v>
      </c>
      <c r="C235">
        <v>4080.48</v>
      </c>
      <c r="D235">
        <v>4026.63</v>
      </c>
      <c r="E235">
        <v>4071.7</v>
      </c>
      <c r="F235">
        <v>4071.7</v>
      </c>
      <c r="G235">
        <v>4012620000</v>
      </c>
      <c r="H235" s="1">
        <f t="shared" si="8"/>
        <v>72.859999999999673</v>
      </c>
      <c r="I235" s="3">
        <f t="shared" si="9"/>
        <v>1.8220283882325793E-2</v>
      </c>
    </row>
    <row r="236" spans="1:9" x14ac:dyDescent="0.25">
      <c r="A236" t="s">
        <v>242</v>
      </c>
      <c r="B236" s="9">
        <v>4087.14</v>
      </c>
      <c r="C236">
        <v>4100.51</v>
      </c>
      <c r="D236">
        <v>4050.87</v>
      </c>
      <c r="E236">
        <v>4076.57</v>
      </c>
      <c r="F236">
        <v>4076.57</v>
      </c>
      <c r="G236">
        <v>4527130000</v>
      </c>
      <c r="H236" s="1">
        <f t="shared" si="8"/>
        <v>4.8700000000003456</v>
      </c>
      <c r="I236" s="3">
        <f t="shared" si="9"/>
        <v>1.1960606135030445E-3</v>
      </c>
    </row>
    <row r="237" spans="1:9" x14ac:dyDescent="0.25">
      <c r="A237" t="s">
        <v>243</v>
      </c>
      <c r="B237" s="9">
        <v>3957.18</v>
      </c>
      <c r="C237">
        <v>4080.11</v>
      </c>
      <c r="D237">
        <v>3938.58</v>
      </c>
      <c r="E237">
        <v>4080.11</v>
      </c>
      <c r="F237">
        <v>4080.11</v>
      </c>
      <c r="G237">
        <v>6579360000</v>
      </c>
      <c r="H237" s="1">
        <f t="shared" si="8"/>
        <v>3.5399999999999636</v>
      </c>
      <c r="I237" s="3">
        <f t="shared" si="9"/>
        <v>8.6837709152546465E-4</v>
      </c>
    </row>
    <row r="238" spans="1:9" x14ac:dyDescent="0.25">
      <c r="A238" t="s">
        <v>244</v>
      </c>
      <c r="B238" s="9">
        <v>3964.19</v>
      </c>
      <c r="C238">
        <v>3976.77</v>
      </c>
      <c r="D238">
        <v>3937.65</v>
      </c>
      <c r="E238">
        <v>3957.63</v>
      </c>
      <c r="F238">
        <v>3957.63</v>
      </c>
      <c r="G238">
        <v>3546040000</v>
      </c>
      <c r="H238" s="1">
        <f t="shared" si="8"/>
        <v>-122.48000000000002</v>
      </c>
      <c r="I238" s="3">
        <f t="shared" si="9"/>
        <v>-3.0018798512785199E-2</v>
      </c>
    </row>
    <row r="239" spans="1:9" x14ac:dyDescent="0.25">
      <c r="A239" t="s">
        <v>245</v>
      </c>
      <c r="B239" s="8">
        <v>4005.36</v>
      </c>
      <c r="C239">
        <v>4012.27</v>
      </c>
      <c r="D239">
        <v>3955.77</v>
      </c>
      <c r="E239">
        <v>3963.94</v>
      </c>
      <c r="F239">
        <v>3963.94</v>
      </c>
      <c r="G239">
        <v>3615430000</v>
      </c>
      <c r="H239" s="1">
        <f t="shared" si="8"/>
        <v>6.3099999999999454</v>
      </c>
      <c r="I239" s="3">
        <f t="shared" si="9"/>
        <v>1.5943885608305842E-3</v>
      </c>
    </row>
    <row r="240" spans="1:9" x14ac:dyDescent="0.25">
      <c r="A240" t="s">
        <v>246</v>
      </c>
      <c r="B240" s="8">
        <v>4023.34</v>
      </c>
      <c r="C240">
        <v>4034.02</v>
      </c>
      <c r="D240">
        <v>4020.76</v>
      </c>
      <c r="E240">
        <v>4026.12</v>
      </c>
      <c r="F240">
        <v>4026.12</v>
      </c>
      <c r="G240">
        <v>1706460000</v>
      </c>
      <c r="H240" s="1">
        <f t="shared" si="8"/>
        <v>62.179999999999836</v>
      </c>
      <c r="I240" s="3">
        <f t="shared" si="9"/>
        <v>1.5686413013314995E-2</v>
      </c>
    </row>
    <row r="241" spans="1:9" x14ac:dyDescent="0.25">
      <c r="A241" t="s">
        <v>247</v>
      </c>
      <c r="B241" s="8">
        <v>4000.3</v>
      </c>
      <c r="C241">
        <v>4033.78</v>
      </c>
      <c r="D241">
        <v>3998.66</v>
      </c>
      <c r="E241">
        <v>4027.26</v>
      </c>
      <c r="F241">
        <v>4027.26</v>
      </c>
      <c r="G241">
        <v>3279720000</v>
      </c>
      <c r="H241" s="1">
        <f t="shared" si="8"/>
        <v>1.1400000000003274</v>
      </c>
      <c r="I241" s="3">
        <f t="shared" si="9"/>
        <v>2.831510238145727E-4</v>
      </c>
    </row>
    <row r="242" spans="1:9" x14ac:dyDescent="0.25">
      <c r="A242" t="s">
        <v>248</v>
      </c>
      <c r="B242" s="8">
        <v>3965.51</v>
      </c>
      <c r="C242">
        <v>4005.88</v>
      </c>
      <c r="D242">
        <v>3956.88</v>
      </c>
      <c r="E242">
        <v>4003.58</v>
      </c>
      <c r="F242">
        <v>4003.58</v>
      </c>
      <c r="G242">
        <v>3887990000</v>
      </c>
      <c r="H242" s="1">
        <f t="shared" si="8"/>
        <v>-23.680000000000291</v>
      </c>
      <c r="I242" s="3">
        <f t="shared" si="9"/>
        <v>-5.879928288712497E-3</v>
      </c>
    </row>
    <row r="243" spans="1:9" x14ac:dyDescent="0.25">
      <c r="A243" t="s">
        <v>249</v>
      </c>
      <c r="B243" s="8">
        <v>3956.23</v>
      </c>
      <c r="C243">
        <v>3962</v>
      </c>
      <c r="D243">
        <v>3933.34</v>
      </c>
      <c r="E243">
        <v>3949.94</v>
      </c>
      <c r="F243">
        <v>3949.94</v>
      </c>
      <c r="G243">
        <v>3850690000</v>
      </c>
      <c r="H243" s="1">
        <f t="shared" si="8"/>
        <v>-53.639999999999873</v>
      </c>
      <c r="I243" s="3">
        <f t="shared" si="9"/>
        <v>-1.3398008782139953E-2</v>
      </c>
    </row>
    <row r="244" spans="1:9" x14ac:dyDescent="0.25">
      <c r="A244" t="s">
        <v>250</v>
      </c>
      <c r="B244" s="7">
        <v>3966.39</v>
      </c>
      <c r="C244">
        <v>3979.89</v>
      </c>
      <c r="D244">
        <v>3935.98</v>
      </c>
      <c r="E244">
        <v>3965.34</v>
      </c>
      <c r="F244">
        <v>3965.34</v>
      </c>
      <c r="G244">
        <v>4037360000</v>
      </c>
      <c r="H244" s="1">
        <f t="shared" si="8"/>
        <v>15.400000000000091</v>
      </c>
      <c r="I244" s="3">
        <f t="shared" si="9"/>
        <v>3.8987933993934313E-3</v>
      </c>
    </row>
    <row r="245" spans="1:9" x14ac:dyDescent="0.25">
      <c r="A245" t="s">
        <v>251</v>
      </c>
      <c r="B245" s="7">
        <v>3919.26</v>
      </c>
      <c r="C245">
        <v>3954.33</v>
      </c>
      <c r="D245">
        <v>3906.54</v>
      </c>
      <c r="E245">
        <v>3946.56</v>
      </c>
      <c r="F245">
        <v>3946.56</v>
      </c>
      <c r="G245">
        <v>4051780000</v>
      </c>
      <c r="H245" s="1">
        <f t="shared" si="8"/>
        <v>-18.7800000000002</v>
      </c>
      <c r="I245" s="3">
        <f t="shared" si="9"/>
        <v>-4.7360377672532993E-3</v>
      </c>
    </row>
    <row r="246" spans="1:9" x14ac:dyDescent="0.25">
      <c r="A246" t="s">
        <v>252</v>
      </c>
      <c r="B246" s="7">
        <v>3976.82</v>
      </c>
      <c r="C246">
        <v>3983.09</v>
      </c>
      <c r="D246">
        <v>3954.34</v>
      </c>
      <c r="E246">
        <v>3958.79</v>
      </c>
      <c r="F246">
        <v>3958.79</v>
      </c>
      <c r="G246">
        <v>4165320000</v>
      </c>
      <c r="H246" s="1">
        <f t="shared" si="8"/>
        <v>12.230000000000018</v>
      </c>
      <c r="I246" s="3">
        <f t="shared" si="9"/>
        <v>3.0989013216573469E-3</v>
      </c>
    </row>
    <row r="247" spans="1:9" x14ac:dyDescent="0.25">
      <c r="A247" t="s">
        <v>253</v>
      </c>
      <c r="B247" s="7">
        <v>4006.41</v>
      </c>
      <c r="C247">
        <v>4028.84</v>
      </c>
      <c r="D247">
        <v>3953.17</v>
      </c>
      <c r="E247">
        <v>3991.73</v>
      </c>
      <c r="F247">
        <v>3991.73</v>
      </c>
      <c r="G247">
        <v>5015310000</v>
      </c>
      <c r="H247" s="1">
        <f t="shared" si="8"/>
        <v>32.940000000000055</v>
      </c>
      <c r="I247" s="3">
        <f t="shared" si="9"/>
        <v>8.3207242617062416E-3</v>
      </c>
    </row>
    <row r="248" spans="1:9" x14ac:dyDescent="0.25">
      <c r="A248" t="s">
        <v>254</v>
      </c>
      <c r="B248" s="7">
        <v>3977.97</v>
      </c>
      <c r="C248">
        <v>4008.97</v>
      </c>
      <c r="D248">
        <v>3956.4</v>
      </c>
      <c r="E248">
        <v>3957.25</v>
      </c>
      <c r="F248">
        <v>3957.25</v>
      </c>
      <c r="G248">
        <v>4561930000</v>
      </c>
      <c r="H248" s="1">
        <f t="shared" si="8"/>
        <v>-34.480000000000018</v>
      </c>
      <c r="I248" s="3">
        <f t="shared" si="9"/>
        <v>-8.637858773013209E-3</v>
      </c>
    </row>
    <row r="249" spans="1:9" x14ac:dyDescent="0.25">
      <c r="A249" t="s">
        <v>255</v>
      </c>
      <c r="B249" s="5">
        <v>3963.72</v>
      </c>
      <c r="C249">
        <v>4001.48</v>
      </c>
      <c r="D249">
        <v>3944.82</v>
      </c>
      <c r="E249">
        <v>3992.93</v>
      </c>
      <c r="F249">
        <v>3992.93</v>
      </c>
      <c r="G249">
        <v>5593310000</v>
      </c>
      <c r="H249" s="1">
        <f t="shared" si="8"/>
        <v>35.679999999999836</v>
      </c>
      <c r="I249" s="3">
        <f t="shared" si="9"/>
        <v>9.0163623728598992E-3</v>
      </c>
    </row>
    <row r="250" spans="1:9" x14ac:dyDescent="0.25">
      <c r="A250" t="s">
        <v>256</v>
      </c>
      <c r="B250" s="5">
        <v>3859.89</v>
      </c>
      <c r="C250">
        <v>3958.33</v>
      </c>
      <c r="D250">
        <v>3859.89</v>
      </c>
      <c r="E250">
        <v>3956.37</v>
      </c>
      <c r="F250">
        <v>3956.37</v>
      </c>
      <c r="G250">
        <v>5781260000</v>
      </c>
      <c r="H250" s="1">
        <f t="shared" si="8"/>
        <v>-36.559999999999945</v>
      </c>
      <c r="I250" s="3">
        <f t="shared" si="9"/>
        <v>-9.1561835544324462E-3</v>
      </c>
    </row>
    <row r="251" spans="1:9" x14ac:dyDescent="0.25">
      <c r="A251" t="s">
        <v>257</v>
      </c>
      <c r="B251" s="5">
        <v>3810.94</v>
      </c>
      <c r="C251">
        <v>3818.2</v>
      </c>
      <c r="D251">
        <v>3744.22</v>
      </c>
      <c r="E251">
        <v>3748.57</v>
      </c>
      <c r="F251">
        <v>3748.57</v>
      </c>
      <c r="G251">
        <v>4645010000</v>
      </c>
      <c r="H251" s="1">
        <f t="shared" si="8"/>
        <v>-207.79999999999973</v>
      </c>
      <c r="I251" s="3">
        <f t="shared" si="9"/>
        <v>-5.2522893460419461E-2</v>
      </c>
    </row>
    <row r="252" spans="1:9" x14ac:dyDescent="0.25">
      <c r="A252" t="s">
        <v>258</v>
      </c>
      <c r="B252" s="5">
        <v>3817.02</v>
      </c>
      <c r="C252">
        <v>3859.4</v>
      </c>
      <c r="D252">
        <v>3786.28</v>
      </c>
      <c r="E252">
        <v>3828.11</v>
      </c>
      <c r="F252">
        <v>3828.11</v>
      </c>
      <c r="G252">
        <v>4607640000</v>
      </c>
      <c r="H252" s="1">
        <f t="shared" si="8"/>
        <v>79.539999999999964</v>
      </c>
      <c r="I252" s="3">
        <f t="shared" si="9"/>
        <v>2.1218758086416944E-2</v>
      </c>
    </row>
    <row r="253" spans="1:9" x14ac:dyDescent="0.25">
      <c r="A253" t="s">
        <v>259</v>
      </c>
      <c r="B253" s="5">
        <v>3780.71</v>
      </c>
      <c r="C253">
        <v>3813.95</v>
      </c>
      <c r="D253">
        <v>3764.7</v>
      </c>
      <c r="E253">
        <v>3806.8</v>
      </c>
      <c r="F253">
        <v>3806.8</v>
      </c>
      <c r="G253">
        <v>4341620000</v>
      </c>
      <c r="H253" s="1">
        <f t="shared" si="8"/>
        <v>-21.309999999999945</v>
      </c>
      <c r="I253" s="3">
        <f t="shared" si="9"/>
        <v>-5.5667156899879954E-3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erformSP500">
                <anchor moveWithCells="1" sizeWithCells="1">
                  <from>
                    <xdr:col>10</xdr:col>
                    <xdr:colOff>638175</xdr:colOff>
                    <xdr:row>0</xdr:row>
                    <xdr:rowOff>123825</xdr:rowOff>
                  </from>
                  <to>
                    <xdr:col>12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AcheterVendre">
                <anchor moveWithCells="1" sizeWithCells="1">
                  <from>
                    <xdr:col>9</xdr:col>
                    <xdr:colOff>733425</xdr:colOff>
                    <xdr:row>13</xdr:row>
                    <xdr:rowOff>133350</xdr:rowOff>
                  </from>
                  <to>
                    <xdr:col>11</xdr:col>
                    <xdr:colOff>704850</xdr:colOff>
                    <xdr:row>16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Meraihi, Noureddine</dc:creator>
  <cp:lastModifiedBy>Meraihi, Noureddine</cp:lastModifiedBy>
  <dcterms:created xsi:type="dcterms:W3CDTF">2023-11-07T23:05:54Z</dcterms:created>
  <dcterms:modified xsi:type="dcterms:W3CDTF">2023-11-08T01:32:54Z</dcterms:modified>
</cp:coreProperties>
</file>