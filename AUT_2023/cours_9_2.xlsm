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3_ncr:1_{542B8A8A-6FA7-430B-9F62-DB7E93E753AA}" xr6:coauthVersionLast="47" xr6:coauthVersionMax="47" xr10:uidLastSave="{00000000-0000-0000-0000-000000000000}"/>
  <bookViews>
    <workbookView xWindow="-120" yWindow="-120" windowWidth="29040" windowHeight="15720" xr2:uid="{D6AF4EBA-C48C-40B8-A875-7CDD778FBA3D}"/>
  </bookViews>
  <sheets>
    <sheet name="Feuil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1" l="1"/>
  <c r="E9" i="1"/>
  <c r="E10" i="1"/>
  <c r="E11" i="1"/>
  <c r="E12" i="1"/>
  <c r="E13" i="1"/>
  <c r="E14" i="1"/>
  <c r="E15" i="1"/>
  <c r="E16" i="1"/>
  <c r="E7" i="1"/>
  <c r="B8" i="1"/>
  <c r="B9" i="1"/>
  <c r="B10" i="1"/>
  <c r="B11" i="1"/>
  <c r="B12" i="1"/>
  <c r="B13" i="1"/>
  <c r="B14" i="1"/>
  <c r="B15" i="1"/>
  <c r="B16" i="1"/>
  <c r="B7" i="1"/>
  <c r="C7" i="1" s="1"/>
  <c r="D7" i="1" s="1"/>
  <c r="E4" i="1"/>
  <c r="E3" i="1"/>
  <c r="A4" i="1"/>
  <c r="A3" i="1"/>
  <c r="F7" i="1" l="1"/>
  <c r="G7" i="1" s="1"/>
  <c r="C14" i="1"/>
  <c r="C8" i="1"/>
  <c r="C16" i="1"/>
  <c r="C15" i="1"/>
  <c r="C13" i="1"/>
  <c r="C12" i="1"/>
  <c r="C11" i="1"/>
  <c r="C10" i="1"/>
  <c r="C9" i="1"/>
  <c r="D8" i="1" l="1"/>
  <c r="F8" i="1" s="1"/>
  <c r="G8" i="1" l="1"/>
  <c r="D9" i="1"/>
  <c r="F9" i="1" s="1"/>
  <c r="D10" i="1" l="1"/>
  <c r="F10" i="1" s="1"/>
  <c r="G9" i="1"/>
  <c r="D11" i="1" l="1"/>
  <c r="F11" i="1" s="1"/>
  <c r="G10" i="1"/>
  <c r="D12" i="1" l="1"/>
  <c r="F12" i="1" s="1"/>
  <c r="G11" i="1"/>
  <c r="D13" i="1" l="1"/>
  <c r="F13" i="1" s="1"/>
  <c r="G12" i="1"/>
  <c r="D14" i="1" l="1"/>
  <c r="F14" i="1" s="1"/>
  <c r="G13" i="1"/>
  <c r="D15" i="1" l="1"/>
  <c r="F15" i="1" s="1"/>
  <c r="G14" i="1"/>
  <c r="D16" i="1" l="1"/>
  <c r="F16" i="1" s="1"/>
  <c r="G16" i="1" s="1"/>
  <c r="G15" i="1"/>
  <c r="I10" i="1" l="1"/>
</calcChain>
</file>

<file path=xl/sharedStrings.xml><?xml version="1.0" encoding="utf-8"?>
<sst xmlns="http://schemas.openxmlformats.org/spreadsheetml/2006/main" count="23" uniqueCount="21">
  <si>
    <t>Prob cumulées</t>
  </si>
  <si>
    <t>Interval d'arrivée</t>
  </si>
  <si>
    <t>Prob</t>
  </si>
  <si>
    <t>Temps de traitement</t>
  </si>
  <si>
    <t>Patient 1</t>
  </si>
  <si>
    <t>Patient 2</t>
  </si>
  <si>
    <t>Patient 3</t>
  </si>
  <si>
    <t>Patient 4</t>
  </si>
  <si>
    <t>Patient 5</t>
  </si>
  <si>
    <t>Patient 6</t>
  </si>
  <si>
    <t>Patient 7</t>
  </si>
  <si>
    <t>Patient 8</t>
  </si>
  <si>
    <t>Patient 9</t>
  </si>
  <si>
    <t>Patient 10</t>
  </si>
  <si>
    <t>Prochaine ariv</t>
  </si>
  <si>
    <t>début visite</t>
  </si>
  <si>
    <t>Traiter</t>
  </si>
  <si>
    <t>Temps total</t>
  </si>
  <si>
    <t>Minute arrive</t>
  </si>
  <si>
    <t>minute de fin</t>
  </si>
  <si>
    <t>mdp=123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</si>
</sst>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9" fontId="0" fillId="2" borderId="0" xfId="1" applyFont="1" applyFill="1"/>
    <xf numFmtId="0" fontId="0" fillId="3" borderId="0" xfId="0" applyFill="1" applyAlignment="1">
      <alignment horizontal="center"/>
    </xf>
    <xf numFmtId="9" fontId="0" fillId="3" borderId="0" xfId="1" applyFont="1" applyFill="1"/>
    <xf numFmtId="0" fontId="0" fillId="4" borderId="0" xfId="0" applyFill="1"/>
    <xf numFmtId="9" fontId="0" fillId="4" borderId="0" xfId="1" applyFont="1" applyFill="1"/>
    <xf numFmtId="0" fontId="0" fillId="5" borderId="0" xfId="0" applyFill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1</xdr:row>
          <xdr:rowOff>57150</xdr:rowOff>
        </xdr:from>
        <xdr:to>
          <xdr:col>8</xdr:col>
          <xdr:colOff>742950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2DE25-6C66-4178-9035-757E465A563B}">
  <sheetPr codeName="Feuil1"/>
  <dimension ref="A1:J16"/>
  <sheetViews>
    <sheetView tabSelected="1" topLeftCell="A13" zoomScale="190" zoomScaleNormal="190" workbookViewId="0">
      <selection activeCell="C23" sqref="C23"/>
    </sheetView>
  </sheetViews>
  <sheetFormatPr baseColWidth="10" defaultRowHeight="15" x14ac:dyDescent="0.25"/>
  <cols>
    <col min="1" max="1" width="14.140625" bestFit="1" customWidth="1"/>
    <col min="2" max="2" width="16.28515625" bestFit="1" customWidth="1"/>
    <col min="3" max="3" width="12" bestFit="1" customWidth="1"/>
    <col min="6" max="6" width="1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E1" t="s">
        <v>0</v>
      </c>
      <c r="F1" t="s">
        <v>3</v>
      </c>
      <c r="G1" t="s">
        <v>2</v>
      </c>
    </row>
    <row r="2" spans="1:10" x14ac:dyDescent="0.25">
      <c r="A2" s="1">
        <v>0</v>
      </c>
      <c r="B2" s="2">
        <v>5</v>
      </c>
      <c r="C2" s="3">
        <v>0.5</v>
      </c>
      <c r="E2" s="1">
        <v>0</v>
      </c>
      <c r="F2" s="4">
        <v>5</v>
      </c>
      <c r="G2" s="5">
        <v>0.4</v>
      </c>
    </row>
    <row r="3" spans="1:10" x14ac:dyDescent="0.25">
      <c r="A3" s="1">
        <f>C2</f>
        <v>0.5</v>
      </c>
      <c r="B3" s="2">
        <v>10</v>
      </c>
      <c r="C3" s="3">
        <v>0.3</v>
      </c>
      <c r="E3" s="1">
        <f>G2</f>
        <v>0.4</v>
      </c>
      <c r="F3" s="4">
        <v>10</v>
      </c>
      <c r="G3" s="5">
        <v>0.35</v>
      </c>
    </row>
    <row r="4" spans="1:10" x14ac:dyDescent="0.25">
      <c r="A4" s="1">
        <f>SUM(C$2,C3)</f>
        <v>0.8</v>
      </c>
      <c r="B4" s="2">
        <v>15</v>
      </c>
      <c r="C4" s="3">
        <v>0.2</v>
      </c>
      <c r="E4" s="1">
        <f>SUM(G$2,G3)</f>
        <v>0.75</v>
      </c>
      <c r="F4" s="4">
        <v>15</v>
      </c>
      <c r="G4" s="5">
        <v>0.2</v>
      </c>
    </row>
    <row r="6" spans="1:10" x14ac:dyDescent="0.25">
      <c r="B6" s="6" t="s">
        <v>14</v>
      </c>
      <c r="C6" s="6" t="s">
        <v>18</v>
      </c>
      <c r="D6" s="6" t="s">
        <v>15</v>
      </c>
      <c r="E6" s="4" t="s">
        <v>16</v>
      </c>
      <c r="F6" s="4" t="s">
        <v>19</v>
      </c>
      <c r="G6" s="4" t="s">
        <v>17</v>
      </c>
    </row>
    <row r="7" spans="1:10" x14ac:dyDescent="0.25">
      <c r="A7" t="s">
        <v>4</v>
      </c>
      <c r="B7">
        <f ca="1">VLOOKUP(RAND(),$A$2:$B$4,2,1)</f>
        <v>15</v>
      </c>
      <c r="C7">
        <f ca="1">B7</f>
        <v>15</v>
      </c>
      <c r="D7">
        <f ca="1">C7</f>
        <v>15</v>
      </c>
      <c r="E7">
        <f ca="1">VLOOKUP(RAND(),$E$2:$F$4,2,1)</f>
        <v>5</v>
      </c>
      <c r="F7">
        <f ca="1">E7+D7</f>
        <v>20</v>
      </c>
      <c r="G7">
        <f ca="1">F7-C7</f>
        <v>5</v>
      </c>
      <c r="J7" t="s">
        <v>20</v>
      </c>
    </row>
    <row r="8" spans="1:10" x14ac:dyDescent="0.25">
      <c r="A8" t="s">
        <v>5</v>
      </c>
      <c r="B8">
        <f t="shared" ref="B8:B16" ca="1" si="0">VLOOKUP(RAND(),$A$2:$B$4,2,1)</f>
        <v>5</v>
      </c>
      <c r="C8">
        <f ca="1">SUM($B$7:B8)</f>
        <v>20</v>
      </c>
      <c r="D8">
        <f ca="1">MAX(F7,C8)</f>
        <v>20</v>
      </c>
      <c r="E8">
        <f t="shared" ref="E8:E16" ca="1" si="1">VLOOKUP(RAND(),$E$2:$F$4,2,1)</f>
        <v>5</v>
      </c>
      <c r="F8">
        <f ca="1">E8+D8</f>
        <v>25</v>
      </c>
      <c r="G8">
        <f ca="1">F8-C8</f>
        <v>5</v>
      </c>
    </row>
    <row r="9" spans="1:10" x14ac:dyDescent="0.25">
      <c r="A9" t="s">
        <v>6</v>
      </c>
      <c r="B9">
        <f t="shared" ca="1" si="0"/>
        <v>5</v>
      </c>
      <c r="C9">
        <f ca="1">SUM($B$7:B9)</f>
        <v>25</v>
      </c>
      <c r="D9">
        <f t="shared" ref="D9:D16" ca="1" si="2">MAX(F8,C9)</f>
        <v>25</v>
      </c>
      <c r="E9">
        <f t="shared" ca="1" si="1"/>
        <v>15</v>
      </c>
      <c r="F9">
        <f t="shared" ref="F9:F16" ca="1" si="3">E9+D9</f>
        <v>40</v>
      </c>
      <c r="G9">
        <f t="shared" ref="G9:G16" ca="1" si="4">F9-C9</f>
        <v>15</v>
      </c>
    </row>
    <row r="10" spans="1:10" x14ac:dyDescent="0.25">
      <c r="A10" t="s">
        <v>7</v>
      </c>
      <c r="B10">
        <f t="shared" ca="1" si="0"/>
        <v>10</v>
      </c>
      <c r="C10">
        <f ca="1">SUM($B$7:B10)</f>
        <v>35</v>
      </c>
      <c r="D10">
        <f t="shared" ca="1" si="2"/>
        <v>40</v>
      </c>
      <c r="E10">
        <f t="shared" ca="1" si="1"/>
        <v>15</v>
      </c>
      <c r="F10">
        <f t="shared" ca="1" si="3"/>
        <v>55</v>
      </c>
      <c r="G10">
        <f t="shared" ca="1" si="4"/>
        <v>20</v>
      </c>
      <c r="I10">
        <f ca="1">MAX(G7:G16)</f>
        <v>25</v>
      </c>
    </row>
    <row r="11" spans="1:10" x14ac:dyDescent="0.25">
      <c r="A11" t="s">
        <v>8</v>
      </c>
      <c r="B11">
        <f t="shared" ca="1" si="0"/>
        <v>15</v>
      </c>
      <c r="C11">
        <f ca="1">SUM($B$7:B11)</f>
        <v>50</v>
      </c>
      <c r="D11">
        <f t="shared" ca="1" si="2"/>
        <v>55</v>
      </c>
      <c r="E11">
        <f t="shared" ca="1" si="1"/>
        <v>15</v>
      </c>
      <c r="F11">
        <f t="shared" ca="1" si="3"/>
        <v>70</v>
      </c>
      <c r="G11">
        <f t="shared" ca="1" si="4"/>
        <v>20</v>
      </c>
    </row>
    <row r="12" spans="1:10" x14ac:dyDescent="0.25">
      <c r="A12" t="s">
        <v>9</v>
      </c>
      <c r="B12">
        <f t="shared" ca="1" si="0"/>
        <v>15</v>
      </c>
      <c r="C12">
        <f ca="1">SUM($B$7:B12)</f>
        <v>65</v>
      </c>
      <c r="D12">
        <f t="shared" ca="1" si="2"/>
        <v>70</v>
      </c>
      <c r="E12">
        <f t="shared" ca="1" si="1"/>
        <v>5</v>
      </c>
      <c r="F12">
        <f t="shared" ca="1" si="3"/>
        <v>75</v>
      </c>
      <c r="G12">
        <f t="shared" ca="1" si="4"/>
        <v>10</v>
      </c>
    </row>
    <row r="13" spans="1:10" x14ac:dyDescent="0.25">
      <c r="A13" t="s">
        <v>10</v>
      </c>
      <c r="B13">
        <f t="shared" ca="1" si="0"/>
        <v>5</v>
      </c>
      <c r="C13">
        <f ca="1">SUM($B$7:B13)</f>
        <v>70</v>
      </c>
      <c r="D13">
        <f t="shared" ca="1" si="2"/>
        <v>75</v>
      </c>
      <c r="E13">
        <f t="shared" ca="1" si="1"/>
        <v>5</v>
      </c>
      <c r="F13">
        <f t="shared" ca="1" si="3"/>
        <v>80</v>
      </c>
      <c r="G13">
        <f t="shared" ca="1" si="4"/>
        <v>10</v>
      </c>
    </row>
    <row r="14" spans="1:10" x14ac:dyDescent="0.25">
      <c r="A14" t="s">
        <v>11</v>
      </c>
      <c r="B14">
        <f t="shared" ca="1" si="0"/>
        <v>5</v>
      </c>
      <c r="C14">
        <f ca="1">SUM($B$7:B14)</f>
        <v>75</v>
      </c>
      <c r="D14">
        <f t="shared" ca="1" si="2"/>
        <v>80</v>
      </c>
      <c r="E14">
        <f t="shared" ca="1" si="1"/>
        <v>10</v>
      </c>
      <c r="F14">
        <f t="shared" ca="1" si="3"/>
        <v>90</v>
      </c>
      <c r="G14">
        <f t="shared" ca="1" si="4"/>
        <v>15</v>
      </c>
    </row>
    <row r="15" spans="1:10" x14ac:dyDescent="0.25">
      <c r="A15" t="s">
        <v>12</v>
      </c>
      <c r="B15">
        <f t="shared" ca="1" si="0"/>
        <v>5</v>
      </c>
      <c r="C15">
        <f ca="1">SUM($B$7:B15)</f>
        <v>80</v>
      </c>
      <c r="D15">
        <f t="shared" ca="1" si="2"/>
        <v>90</v>
      </c>
      <c r="E15">
        <f t="shared" ca="1" si="1"/>
        <v>10</v>
      </c>
      <c r="F15">
        <f t="shared" ca="1" si="3"/>
        <v>100</v>
      </c>
      <c r="G15">
        <f t="shared" ca="1" si="4"/>
        <v>20</v>
      </c>
    </row>
    <row r="16" spans="1:10" x14ac:dyDescent="0.25">
      <c r="A16" t="s">
        <v>13</v>
      </c>
      <c r="B16">
        <f t="shared" ca="1" si="0"/>
        <v>5</v>
      </c>
      <c r="C16">
        <f ca="1">SUM($B$7:B16)</f>
        <v>85</v>
      </c>
      <c r="D16">
        <f t="shared" ca="1" si="2"/>
        <v>100</v>
      </c>
      <c r="E16">
        <f t="shared" ca="1" si="1"/>
        <v>10</v>
      </c>
      <c r="F16">
        <f t="shared" ca="1" si="3"/>
        <v>110</v>
      </c>
      <c r="G16">
        <f t="shared" ca="1" si="4"/>
        <v>25</v>
      </c>
    </row>
  </sheetData>
  <sheetProtection deleteColumns="0" deleteRows="0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mps_attente">
                <anchor moveWithCells="1" sizeWithCells="1">
                  <from>
                    <xdr:col>7</xdr:col>
                    <xdr:colOff>257175</xdr:colOff>
                    <xdr:row>1</xdr:row>
                    <xdr:rowOff>57150</xdr:rowOff>
                  </from>
                  <to>
                    <xdr:col>8</xdr:col>
                    <xdr:colOff>742950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Meraihi, Noureddine</dc:creator>
  <cp:lastModifiedBy>Meraihi, Noureddine</cp:lastModifiedBy>
  <dcterms:created xsi:type="dcterms:W3CDTF">2023-10-31T23:37:46Z</dcterms:created>
  <dcterms:modified xsi:type="dcterms:W3CDTF">2023-11-01T00:48:20Z</dcterms:modified>
</cp:coreProperties>
</file>