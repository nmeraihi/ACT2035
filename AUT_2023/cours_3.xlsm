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46A14EFC-3477-4369-AAAE-689CD01DF0BA}" xr6:coauthVersionLast="47" xr6:coauthVersionMax="47" xr10:uidLastSave="{00000000-0000-0000-0000-000000000000}"/>
  <bookViews>
    <workbookView xWindow="2160" yWindow="2160" windowWidth="21600" windowHeight="11295" activeTab="1" xr2:uid="{6AB9F1CE-81DC-470D-B628-4E5F495BFFA4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" l="1"/>
  <c r="E12" i="1" s="1"/>
  <c r="E13" i="1" s="1"/>
  <c r="E14" i="1" s="1"/>
  <c r="E15" i="1" s="1"/>
  <c r="E16" i="1" s="1"/>
  <c r="B7" i="1"/>
  <c r="E5" i="1" s="1"/>
  <c r="C11" i="1" l="1"/>
  <c r="E9" i="1"/>
</calcChain>
</file>

<file path=xl/sharedStrings.xml><?xml version="1.0" encoding="utf-8"?>
<sst xmlns="http://schemas.openxmlformats.org/spreadsheetml/2006/main" count="8" uniqueCount="8">
  <si>
    <t>Investissement</t>
  </si>
  <si>
    <t>CF_1</t>
  </si>
  <si>
    <t>CF_2</t>
  </si>
  <si>
    <t>CF_3</t>
  </si>
  <si>
    <t>VAN</t>
  </si>
  <si>
    <t>=&gt;</t>
  </si>
  <si>
    <t>Bonjour</t>
  </si>
  <si>
    <t>Taux escompte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</si>
</sst>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164" formatCode="_ * #,##0_)\ &quot;$&quot;_ ;_ * \(#,##0\)\ &quot;$&quot;_ ;_ * &quot;-&quot;??_)\ &quot;$&quot;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indexed="64"/>
      </patternFill>
    </fill>
  </fills>
  <borders count="13">
    <border>
      <left/>
      <right/>
      <top/>
      <bottom/>
      <diagonal/>
    </border>
    <border>
      <left style="slantDash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/>
      <right style="slantDashDot">
        <color auto="1"/>
      </right>
      <top style="slantDashDot">
        <color auto="1"/>
      </top>
      <bottom/>
      <diagonal/>
    </border>
    <border>
      <left style="slantDashDot">
        <color auto="1"/>
      </left>
      <right/>
      <top/>
      <bottom style="slantDash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 style="slantDashDot">
        <color auto="1"/>
      </right>
      <top/>
      <bottom style="slantDash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0" xfId="0" applyNumberFormat="1"/>
    <xf numFmtId="6" fontId="0" fillId="0" borderId="0" xfId="0" applyNumberFormat="1"/>
    <xf numFmtId="0" fontId="0" fillId="0" borderId="1" xfId="0" applyBorder="1"/>
    <xf numFmtId="9" fontId="0" fillId="3" borderId="2" xfId="0" applyNumberFormat="1" applyFill="1" applyBorder="1" applyAlignment="1">
      <alignment horizontal="center"/>
    </xf>
    <xf numFmtId="9" fontId="0" fillId="3" borderId="3" xfId="0" applyNumberFormat="1" applyFill="1" applyBorder="1" applyAlignment="1">
      <alignment horizontal="center"/>
    </xf>
    <xf numFmtId="9" fontId="0" fillId="4" borderId="2" xfId="0" applyNumberFormat="1" applyFill="1" applyBorder="1" applyAlignment="1">
      <alignment horizontal="center"/>
    </xf>
    <xf numFmtId="9" fontId="0" fillId="4" borderId="0" xfId="0" applyNumberFormat="1" applyFill="1"/>
    <xf numFmtId="164" fontId="0" fillId="0" borderId="5" xfId="1" applyNumberFormat="1" applyFont="1" applyBorder="1"/>
    <xf numFmtId="164" fontId="0" fillId="0" borderId="6" xfId="1" applyNumberFormat="1" applyFont="1" applyBorder="1"/>
    <xf numFmtId="0" fontId="0" fillId="0" borderId="0" xfId="0" quotePrefix="1" applyAlignment="1">
      <alignment horizontal="center"/>
    </xf>
    <xf numFmtId="6" fontId="0" fillId="2" borderId="0" xfId="0" applyNumberFormat="1" applyFill="1"/>
    <xf numFmtId="164" fontId="0" fillId="0" borderId="0" xfId="1" applyNumberFormat="1" applyFont="1"/>
    <xf numFmtId="0" fontId="0" fillId="0" borderId="7" xfId="0" applyBorder="1"/>
    <xf numFmtId="6" fontId="0" fillId="2" borderId="8" xfId="0" applyNumberFormat="1" applyFill="1" applyBorder="1"/>
    <xf numFmtId="5" fontId="0" fillId="0" borderId="9" xfId="1" applyNumberFormat="1" applyFont="1" applyBorder="1"/>
    <xf numFmtId="5" fontId="0" fillId="0" borderId="11" xfId="1" applyNumberFormat="1" applyFont="1" applyBorder="1"/>
    <xf numFmtId="6" fontId="0" fillId="2" borderId="4" xfId="0" applyNumberFormat="1" applyFill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5" fontId="0" fillId="5" borderId="9" xfId="1" applyNumberFormat="1" applyFont="1" applyFill="1" applyBorder="1"/>
    <xf numFmtId="6" fontId="0" fillId="2" borderId="1" xfId="0" applyNumberFormat="1" applyFill="1" applyBorder="1"/>
    <xf numFmtId="6" fontId="0" fillId="6" borderId="0" xfId="0" applyNumberFormat="1" applyFill="1"/>
    <xf numFmtId="0" fontId="0" fillId="6" borderId="0" xfId="0" applyFill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818284</xdr:colOff>
      <xdr:row>4</xdr:row>
      <xdr:rowOff>116898</xdr:rowOff>
    </xdr:from>
    <xdr:to>
      <xdr:col>3</xdr:col>
      <xdr:colOff>736023</xdr:colOff>
      <xdr:row>6</xdr:row>
      <xdr:rowOff>99580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A4EC706D-632D-4F3A-A392-E51F5F3BEF62}"/>
            </a:ext>
          </a:extLst>
        </xdr:cNvPr>
        <xdr:cNvCxnSpPr/>
      </xdr:nvCxnSpPr>
      <xdr:spPr>
        <a:xfrm flipV="1">
          <a:off x="1788102" y="887557"/>
          <a:ext cx="1498023" cy="37234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835602</xdr:colOff>
      <xdr:row>6</xdr:row>
      <xdr:rowOff>90921</xdr:rowOff>
    </xdr:from>
    <xdr:to>
      <xdr:col>2</xdr:col>
      <xdr:colOff>415636</xdr:colOff>
      <xdr:row>9</xdr:row>
      <xdr:rowOff>164523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842F4EB6-CB88-43BA-8994-0F0577FD8A95}"/>
            </a:ext>
          </a:extLst>
        </xdr:cNvPr>
        <xdr:cNvCxnSpPr/>
      </xdr:nvCxnSpPr>
      <xdr:spPr>
        <a:xfrm>
          <a:off x="1805420" y="1251239"/>
          <a:ext cx="428625" cy="645102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840988</xdr:colOff>
      <xdr:row>6</xdr:row>
      <xdr:rowOff>102220</xdr:rowOff>
    </xdr:from>
    <xdr:to>
      <xdr:col>4</xdr:col>
      <xdr:colOff>9292</xdr:colOff>
      <xdr:row>8</xdr:row>
      <xdr:rowOff>32524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7B07A29A-4A69-47DF-BB4D-772671F82DF1}"/>
            </a:ext>
          </a:extLst>
        </xdr:cNvPr>
        <xdr:cNvCxnSpPr/>
      </xdr:nvCxnSpPr>
      <xdr:spPr>
        <a:xfrm>
          <a:off x="1812073" y="1263805"/>
          <a:ext cx="1156939" cy="320597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3E6D2-6F3E-4C09-B52D-FC4F5386A1FB}">
  <sheetPr codeName="Feuil1"/>
  <dimension ref="A1:K18"/>
  <sheetViews>
    <sheetView zoomScale="160" zoomScaleNormal="160" workbookViewId="0">
      <selection activeCell="C12" sqref="C12"/>
    </sheetView>
  </sheetViews>
  <sheetFormatPr baseColWidth="10" defaultRowHeight="15" x14ac:dyDescent="0.25"/>
  <cols>
    <col min="2" max="2" width="12.7109375" bestFit="1" customWidth="1"/>
    <col min="3" max="3" width="12.28515625" bestFit="1" customWidth="1"/>
    <col min="4" max="4" width="4.85546875" customWidth="1"/>
    <col min="5" max="5" width="12.28515625" bestFit="1" customWidth="1"/>
    <col min="6" max="11" width="12" customWidth="1"/>
  </cols>
  <sheetData>
    <row r="1" spans="1:11" x14ac:dyDescent="0.25">
      <c r="A1" t="s">
        <v>0</v>
      </c>
      <c r="B1" s="22">
        <v>-50000</v>
      </c>
      <c r="E1" t="s">
        <v>6</v>
      </c>
    </row>
    <row r="2" spans="1:11" x14ac:dyDescent="0.25">
      <c r="A2" t="s">
        <v>7</v>
      </c>
      <c r="B2" s="7">
        <v>0.05</v>
      </c>
    </row>
    <row r="3" spans="1:11" ht="15.75" thickBot="1" x14ac:dyDescent="0.3">
      <c r="A3" t="s">
        <v>1</v>
      </c>
      <c r="B3" s="2">
        <v>20000</v>
      </c>
    </row>
    <row r="4" spans="1:11" x14ac:dyDescent="0.25">
      <c r="A4" t="s">
        <v>2</v>
      </c>
      <c r="B4" s="2">
        <v>10000</v>
      </c>
      <c r="E4" s="3"/>
      <c r="F4" s="4">
        <v>0.03</v>
      </c>
      <c r="G4" s="4">
        <v>0.04</v>
      </c>
      <c r="H4" s="4">
        <v>0.05</v>
      </c>
      <c r="I4" s="6">
        <v>0.06</v>
      </c>
      <c r="J4" s="4">
        <v>7.0000000000000007E-2</v>
      </c>
      <c r="K4" s="5">
        <v>0.08</v>
      </c>
    </row>
    <row r="5" spans="1:11" ht="15.75" thickBot="1" x14ac:dyDescent="0.3">
      <c r="A5" t="s">
        <v>3</v>
      </c>
      <c r="B5" s="2">
        <v>40000</v>
      </c>
      <c r="D5" s="10" t="s">
        <v>5</v>
      </c>
      <c r="E5" s="17">
        <f>B7</f>
        <v>12671.41777345859</v>
      </c>
      <c r="F5" s="8">
        <f t="dataTable" ref="F5:K5" dt2D="0" dtr="1" r1="B2" ca="1"/>
        <v>15449.101193619266</v>
      </c>
      <c r="G5" s="8">
        <v>14036.185707783327</v>
      </c>
      <c r="H5" s="8">
        <v>12671.41777345859</v>
      </c>
      <c r="I5" s="8">
        <v>11352.660249736349</v>
      </c>
      <c r="J5" s="8">
        <v>10077.891143412919</v>
      </c>
      <c r="K5" s="9">
        <v>8845.1963623431293</v>
      </c>
    </row>
    <row r="6" spans="1:11" x14ac:dyDescent="0.25">
      <c r="F6" s="1"/>
      <c r="G6" s="1"/>
      <c r="H6" s="1"/>
      <c r="I6" s="1"/>
      <c r="J6" s="1"/>
      <c r="K6" s="1"/>
    </row>
    <row r="7" spans="1:11" x14ac:dyDescent="0.25">
      <c r="A7" t="s">
        <v>4</v>
      </c>
      <c r="B7" s="11">
        <f>NPV(B2,B3,B4,B5)+B1</f>
        <v>12671.41777345859</v>
      </c>
    </row>
    <row r="8" spans="1:11" ht="15.75" thickBot="1" x14ac:dyDescent="0.3"/>
    <row r="9" spans="1:11" x14ac:dyDescent="0.25">
      <c r="E9" s="21">
        <f>B7</f>
        <v>12671.41777345859</v>
      </c>
      <c r="F9" s="4">
        <v>0.03</v>
      </c>
      <c r="G9" s="4">
        <v>0.04</v>
      </c>
      <c r="H9" s="4">
        <v>0.05</v>
      </c>
      <c r="I9" s="6">
        <v>0.06</v>
      </c>
      <c r="J9" s="4">
        <v>7.0000000000000007E-2</v>
      </c>
      <c r="K9" s="5">
        <v>0.08</v>
      </c>
    </row>
    <row r="10" spans="1:11" ht="15.75" thickBot="1" x14ac:dyDescent="0.3">
      <c r="E10" s="20">
        <v>-50000</v>
      </c>
      <c r="F10" s="12">
        <f t="dataTable" ref="F10:K16" dt2D="1" dtr="1" r1="B2" r2="B1"/>
        <v>15449.101193619266</v>
      </c>
      <c r="G10" s="12">
        <v>14036.185707783327</v>
      </c>
      <c r="H10" s="12">
        <v>12671.41777345859</v>
      </c>
      <c r="I10" s="12">
        <v>11352.660249736349</v>
      </c>
      <c r="J10" s="12">
        <v>10077.891143412919</v>
      </c>
      <c r="K10" s="12">
        <v>8845.1963623431293</v>
      </c>
    </row>
    <row r="11" spans="1:11" x14ac:dyDescent="0.25">
      <c r="B11" s="13"/>
      <c r="C11" s="14">
        <f>B7</f>
        <v>12671.41777345859</v>
      </c>
      <c r="E11" s="15">
        <f>E10+5000</f>
        <v>-45000</v>
      </c>
      <c r="F11" s="12">
        <v>20449.101193619266</v>
      </c>
      <c r="G11" s="12">
        <v>19036.185707783327</v>
      </c>
      <c r="H11" s="12">
        <v>17671.41777345859</v>
      </c>
      <c r="I11" s="12">
        <v>16352.660249736349</v>
      </c>
      <c r="J11" s="12">
        <v>15077.891143412919</v>
      </c>
      <c r="K11" s="12">
        <v>13845.196362343129</v>
      </c>
    </row>
    <row r="12" spans="1:11" x14ac:dyDescent="0.25">
      <c r="B12" s="20"/>
      <c r="C12" s="18"/>
      <c r="E12" s="15">
        <f t="shared" ref="E12:E16" si="0">E11+5000</f>
        <v>-40000</v>
      </c>
      <c r="F12" s="12">
        <v>25449.101193619266</v>
      </c>
      <c r="G12" s="12">
        <v>24036.185707783327</v>
      </c>
      <c r="H12" s="12">
        <v>22671.41777345859</v>
      </c>
      <c r="I12" s="12">
        <v>21352.660249736349</v>
      </c>
      <c r="J12" s="12">
        <v>20077.891143412919</v>
      </c>
      <c r="K12" s="12">
        <v>18845.196362343129</v>
      </c>
    </row>
    <row r="13" spans="1:11" x14ac:dyDescent="0.25">
      <c r="B13" s="15"/>
      <c r="C13" s="18"/>
      <c r="E13" s="15">
        <f t="shared" si="0"/>
        <v>-35000</v>
      </c>
      <c r="F13" s="12">
        <v>30449.101193619266</v>
      </c>
      <c r="G13" s="12">
        <v>29036.185707783327</v>
      </c>
      <c r="H13" s="12">
        <v>27671.41777345859</v>
      </c>
      <c r="I13" s="12">
        <v>26352.660249736349</v>
      </c>
      <c r="J13" s="12">
        <v>25077.891143412919</v>
      </c>
      <c r="K13" s="12">
        <v>23845.196362343129</v>
      </c>
    </row>
    <row r="14" spans="1:11" x14ac:dyDescent="0.25">
      <c r="B14" s="15"/>
      <c r="C14" s="18"/>
      <c r="E14" s="15">
        <f t="shared" si="0"/>
        <v>-30000</v>
      </c>
      <c r="F14" s="12">
        <v>35449.101193619266</v>
      </c>
      <c r="G14" s="12">
        <v>34036.185707783327</v>
      </c>
      <c r="H14" s="12">
        <v>32671.41777345859</v>
      </c>
      <c r="I14" s="12">
        <v>31352.660249736349</v>
      </c>
      <c r="J14" s="12">
        <v>30077.891143412919</v>
      </c>
      <c r="K14" s="12">
        <v>28845.196362343129</v>
      </c>
    </row>
    <row r="15" spans="1:11" x14ac:dyDescent="0.25">
      <c r="B15" s="15"/>
      <c r="C15" s="18"/>
      <c r="E15" s="15">
        <f t="shared" si="0"/>
        <v>-25000</v>
      </c>
      <c r="F15" s="12">
        <v>40449.101193619266</v>
      </c>
      <c r="G15" s="12">
        <v>39036.185707783327</v>
      </c>
      <c r="H15" s="12">
        <v>37671.41777345859</v>
      </c>
      <c r="I15" s="12">
        <v>36352.660249736349</v>
      </c>
      <c r="J15" s="12">
        <v>35077.891143412919</v>
      </c>
      <c r="K15" s="12">
        <v>33845.196362343129</v>
      </c>
    </row>
    <row r="16" spans="1:11" ht="15.75" thickBot="1" x14ac:dyDescent="0.3">
      <c r="B16" s="15"/>
      <c r="C16" s="18"/>
      <c r="E16" s="16">
        <f t="shared" si="0"/>
        <v>-20000</v>
      </c>
      <c r="F16" s="12">
        <v>45449.101193619266</v>
      </c>
      <c r="G16" s="12">
        <v>44036.185707783327</v>
      </c>
      <c r="H16" s="12">
        <v>42671.41777345859</v>
      </c>
      <c r="I16" s="12">
        <v>41352.660249736349</v>
      </c>
      <c r="J16" s="12">
        <v>40077.891143412919</v>
      </c>
      <c r="K16" s="12">
        <v>38845.196362343129</v>
      </c>
    </row>
    <row r="17" spans="2:3" x14ac:dyDescent="0.25">
      <c r="B17" s="15"/>
      <c r="C17" s="18"/>
    </row>
    <row r="18" spans="2:3" ht="15.75" thickBot="1" x14ac:dyDescent="0.3">
      <c r="B18" s="16"/>
      <c r="C18" s="19"/>
    </row>
  </sheetData>
  <phoneticPr fontId="2" type="noConversion"/>
  <conditionalFormatting sqref="F10:K1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4941-CB70-4154-8BBC-6223FF362621}">
  <sheetPr codeName="Feuil2"/>
  <dimension ref="A1"/>
  <sheetViews>
    <sheetView tabSelected="1" workbookViewId="0">
      <selection activeCell="I4" sqref="I4"/>
    </sheetView>
  </sheetViews>
  <sheetFormatPr baseColWidth="10" defaultRowHeight="15" x14ac:dyDescent="0.25"/>
  <sheetData>
    <row r="1" spans="1:1" x14ac:dyDescent="0.25">
      <c r="A1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2023-09-19T22:03:03Z</dcterms:created>
  <dcterms:modified xsi:type="dcterms:W3CDTF">2023-09-20T00:16:02Z</dcterms:modified>
</cp:coreProperties>
</file>