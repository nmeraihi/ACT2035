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ourmp/Library/Mobile Documents/com~apple~CloudDocs/bu-desktop-propre/ACT2035/ACT2035/git/ACT2035/AUT_2021/"/>
    </mc:Choice>
  </mc:AlternateContent>
  <xr:revisionPtr revIDLastSave="0" documentId="13_ncr:1_{608E5B52-5607-E442-A52F-51BCA77C2548}" xr6:coauthVersionLast="47" xr6:coauthVersionMax="47" xr10:uidLastSave="{00000000-0000-0000-0000-000000000000}"/>
  <bookViews>
    <workbookView xWindow="0" yWindow="500" windowWidth="33600" windowHeight="19300" xr2:uid="{00000000-000D-0000-FFFF-FFFF00000000}"/>
  </bookViews>
  <sheets>
    <sheet name="Feuil1" sheetId="1" r:id="rId1"/>
  </sheets>
  <definedNames>
    <definedName name="matD">Feuil1!$B$50:$E$53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1" l="1" a="1"/>
  <c r="V10" i="1" s="1"/>
  <c r="Y13" i="1" l="1"/>
  <c r="Y11" i="1"/>
  <c r="X13" i="1"/>
  <c r="X11" i="1"/>
  <c r="W13" i="1"/>
  <c r="W11" i="1"/>
  <c r="V13" i="1"/>
  <c r="V11" i="1"/>
  <c r="Y12" i="1"/>
  <c r="Y10" i="1"/>
  <c r="X12" i="1"/>
  <c r="X10" i="1"/>
  <c r="W12" i="1"/>
  <c r="W10" i="1"/>
  <c r="V12" i="1"/>
  <c r="H124" i="1"/>
  <c r="H125" i="1"/>
  <c r="H126" i="1"/>
  <c r="H127" i="1"/>
  <c r="H123" i="1"/>
  <c r="B127" i="1"/>
  <c r="C127" i="1"/>
  <c r="D127" i="1"/>
  <c r="E127" i="1"/>
  <c r="F127" i="1"/>
  <c r="F123" i="1"/>
  <c r="F124" i="1"/>
  <c r="F125" i="1"/>
  <c r="F126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C123" i="1"/>
  <c r="D123" i="1"/>
  <c r="E123" i="1"/>
  <c r="B123" i="1"/>
  <c r="B111" i="1" a="1"/>
  <c r="B111" i="1" s="1"/>
  <c r="M107" i="1" a="1"/>
  <c r="M108" i="1" s="1"/>
  <c r="K107" i="1" a="1"/>
  <c r="K108" i="1" s="1"/>
  <c r="B113" i="1" a="1"/>
  <c r="C113" i="1" s="1"/>
  <c r="B72" i="1"/>
  <c r="B67" i="1" a="1"/>
  <c r="B67" i="1" s="1"/>
  <c r="S63" i="1" a="1"/>
  <c r="S63" i="1" s="1"/>
  <c r="M62" i="1" a="1"/>
  <c r="M62" i="1" s="1"/>
  <c r="H55" i="1" a="1"/>
  <c r="H55" i="1" s="1"/>
  <c r="H50" i="1" a="1"/>
  <c r="I50" i="1" s="1"/>
  <c r="S44" i="1" a="1"/>
  <c r="U45" i="1" s="1"/>
  <c r="H44" i="1" a="1"/>
  <c r="I45" i="1" s="1"/>
  <c r="H36" i="1" a="1"/>
  <c r="J37" i="1" s="1"/>
  <c r="M27" i="1" a="1"/>
  <c r="N29" i="1" s="1"/>
  <c r="R19" i="1"/>
  <c r="S19" i="1"/>
  <c r="T19" i="1"/>
  <c r="R20" i="1"/>
  <c r="S20" i="1"/>
  <c r="T20" i="1"/>
  <c r="R21" i="1"/>
  <c r="S21" i="1"/>
  <c r="T21" i="1"/>
  <c r="R22" i="1"/>
  <c r="S22" i="1"/>
  <c r="T22" i="1"/>
  <c r="Q20" i="1"/>
  <c r="Q21" i="1"/>
  <c r="Q22" i="1"/>
  <c r="Q19" i="1"/>
  <c r="I19" i="1" a="1"/>
  <c r="K19" i="1" s="1"/>
  <c r="Q10" i="1" a="1"/>
  <c r="R11" i="1" s="1"/>
  <c r="K10" i="1" a="1"/>
  <c r="M10" i="1" s="1"/>
  <c r="F10" i="1"/>
  <c r="G10" i="1"/>
  <c r="H10" i="1"/>
  <c r="F11" i="1"/>
  <c r="G11" i="1"/>
  <c r="H11" i="1"/>
  <c r="F12" i="1"/>
  <c r="G12" i="1"/>
  <c r="H12" i="1"/>
  <c r="F13" i="1"/>
  <c r="G13" i="1"/>
  <c r="H13" i="1"/>
  <c r="E11" i="1"/>
  <c r="E12" i="1"/>
  <c r="E13" i="1"/>
  <c r="E10" i="1"/>
  <c r="B128" i="1" l="1" a="1"/>
  <c r="B128" i="1" s="1"/>
  <c r="E111" i="1"/>
  <c r="D111" i="1"/>
  <c r="C111" i="1"/>
  <c r="M109" i="1"/>
  <c r="M110" i="1"/>
  <c r="M107" i="1"/>
  <c r="K107" i="1"/>
  <c r="K109" i="1"/>
  <c r="K110" i="1"/>
  <c r="D116" i="1"/>
  <c r="B113" i="1"/>
  <c r="B116" i="1"/>
  <c r="D115" i="1"/>
  <c r="B114" i="1"/>
  <c r="E115" i="1"/>
  <c r="C114" i="1"/>
  <c r="E113" i="1"/>
  <c r="D113" i="1"/>
  <c r="E116" i="1"/>
  <c r="C116" i="1"/>
  <c r="C115" i="1"/>
  <c r="B115" i="1"/>
  <c r="E114" i="1"/>
  <c r="D114" i="1"/>
  <c r="S65" i="1"/>
  <c r="S64" i="1"/>
  <c r="S66" i="1"/>
  <c r="P62" i="1"/>
  <c r="E72" i="1" s="1"/>
  <c r="O62" i="1"/>
  <c r="D72" i="1" s="1"/>
  <c r="N62" i="1"/>
  <c r="C72" i="1" s="1"/>
  <c r="B76" i="1" s="1" a="1"/>
  <c r="B76" i="1" s="1"/>
  <c r="H57" i="1"/>
  <c r="I56" i="1"/>
  <c r="H56" i="1"/>
  <c r="I57" i="1"/>
  <c r="I55" i="1"/>
  <c r="H50" i="1"/>
  <c r="J53" i="1"/>
  <c r="H53" i="1"/>
  <c r="I52" i="1"/>
  <c r="H52" i="1"/>
  <c r="J50" i="1"/>
  <c r="K53" i="1"/>
  <c r="I53" i="1"/>
  <c r="K52" i="1"/>
  <c r="J52" i="1"/>
  <c r="K51" i="1"/>
  <c r="J51" i="1"/>
  <c r="I51" i="1"/>
  <c r="H51" i="1"/>
  <c r="K50" i="1"/>
  <c r="T45" i="1"/>
  <c r="S45" i="1"/>
  <c r="U44" i="1"/>
  <c r="T44" i="1"/>
  <c r="S44" i="1"/>
  <c r="U46" i="1"/>
  <c r="T46" i="1"/>
  <c r="S46" i="1"/>
  <c r="J46" i="1"/>
  <c r="I46" i="1"/>
  <c r="H46" i="1"/>
  <c r="H45" i="1"/>
  <c r="K44" i="1"/>
  <c r="J44" i="1"/>
  <c r="I44" i="1"/>
  <c r="H44" i="1"/>
  <c r="K46" i="1"/>
  <c r="K45" i="1"/>
  <c r="J45" i="1"/>
  <c r="J39" i="1"/>
  <c r="I39" i="1"/>
  <c r="H39" i="1"/>
  <c r="J38" i="1"/>
  <c r="I37" i="1"/>
  <c r="H37" i="1"/>
  <c r="J36" i="1"/>
  <c r="I36" i="1"/>
  <c r="H36" i="1"/>
  <c r="I38" i="1"/>
  <c r="H38" i="1"/>
  <c r="M29" i="1"/>
  <c r="N28" i="1"/>
  <c r="M28" i="1"/>
  <c r="N27" i="1"/>
  <c r="M27" i="1"/>
  <c r="T13" i="1"/>
  <c r="Q13" i="1"/>
  <c r="S13" i="1"/>
  <c r="R13" i="1"/>
  <c r="T12" i="1"/>
  <c r="Q11" i="1"/>
  <c r="T10" i="1"/>
  <c r="S10" i="1"/>
  <c r="R10" i="1"/>
  <c r="Q10" i="1"/>
  <c r="K21" i="1"/>
  <c r="J19" i="1"/>
  <c r="I19" i="1"/>
  <c r="L22" i="1"/>
  <c r="K22" i="1"/>
  <c r="J22" i="1"/>
  <c r="I22" i="1"/>
  <c r="L21" i="1"/>
  <c r="J21" i="1"/>
  <c r="I21" i="1"/>
  <c r="L20" i="1"/>
  <c r="K20" i="1"/>
  <c r="J20" i="1"/>
  <c r="I20" i="1"/>
  <c r="L19" i="1"/>
  <c r="S12" i="1"/>
  <c r="R12" i="1"/>
  <c r="Q12" i="1"/>
  <c r="T11" i="1"/>
  <c r="S11" i="1"/>
  <c r="L10" i="1"/>
  <c r="K10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U63" i="1" l="1"/>
  <c r="W63" i="1" s="1"/>
  <c r="F128" i="1"/>
  <c r="C128" i="1"/>
  <c r="E128" i="1"/>
  <c r="D128" i="1"/>
  <c r="J113" i="1" a="1"/>
  <c r="M71" i="1" a="1"/>
  <c r="N71" i="1" l="1"/>
  <c r="C81" i="1" s="1"/>
  <c r="P71" i="1"/>
  <c r="E81" i="1" s="1"/>
  <c r="O71" i="1"/>
  <c r="D81" i="1" s="1"/>
  <c r="M71" i="1"/>
  <c r="B81" i="1" s="1"/>
  <c r="J114" i="1"/>
  <c r="J113" i="1"/>
  <c r="J115" i="1"/>
  <c r="J116" i="1"/>
  <c r="B119" i="1" l="1" a="1"/>
  <c r="C119" i="1"/>
  <c r="B119" i="1"/>
  <c r="E119" i="1"/>
  <c r="D119" i="1"/>
  <c r="B85" i="1" a="1"/>
  <c r="B85" i="1" s="1"/>
  <c r="M80" i="1" a="1"/>
  <c r="P80" i="1" l="1"/>
  <c r="E90" i="1" s="1"/>
  <c r="M80" i="1"/>
  <c r="B90" i="1" s="1"/>
  <c r="N80" i="1"/>
  <c r="C90" i="1" s="1"/>
  <c r="O80" i="1"/>
  <c r="D90" i="1" s="1"/>
  <c r="M114" i="1"/>
  <c r="M115" i="1"/>
  <c r="M116" i="1"/>
  <c r="M113" i="1"/>
  <c r="M89" i="1" l="1" a="1"/>
  <c r="B94" i="1" a="1"/>
  <c r="B94" i="1" s="1"/>
  <c r="P89" i="1" l="1"/>
  <c r="E99" i="1" s="1"/>
  <c r="O89" i="1"/>
  <c r="D99" i="1" s="1"/>
  <c r="N89" i="1"/>
  <c r="C99" i="1" s="1"/>
  <c r="M89" i="1"/>
  <c r="B99" i="1" s="1"/>
  <c r="B103" i="1" l="1" a="1"/>
  <c r="B103" i="1" s="1"/>
  <c r="M98" i="1" a="1"/>
  <c r="P98" i="1" l="1"/>
  <c r="O98" i="1"/>
  <c r="N98" i="1"/>
  <c r="M98" i="1"/>
</calcChain>
</file>

<file path=xl/sharedStrings.xml><?xml version="1.0" encoding="utf-8"?>
<sst xmlns="http://schemas.openxmlformats.org/spreadsheetml/2006/main" count="89" uniqueCount="40">
  <si>
    <t xml:space="preserve"> </t>
  </si>
  <si>
    <t>A</t>
  </si>
  <si>
    <t>B</t>
  </si>
  <si>
    <t>A'</t>
  </si>
  <si>
    <t>A+A'</t>
  </si>
  <si>
    <t>A+A' (table)</t>
  </si>
  <si>
    <t>somme de matrice</t>
  </si>
  <si>
    <t>Multiplication par scalaire</t>
  </si>
  <si>
    <t>Ax3,14</t>
  </si>
  <si>
    <t>Multiplication deux matrices</t>
  </si>
  <si>
    <t>A x B</t>
  </si>
  <si>
    <t>Transposée</t>
  </si>
  <si>
    <t>Inverse A</t>
  </si>
  <si>
    <r>
      <t xml:space="preserve">B </t>
    </r>
    <r>
      <rPr>
        <vertAlign val="superscript"/>
        <sz val="11"/>
        <color theme="1"/>
        <rFont val="Calibri"/>
        <family val="2"/>
        <scheme val="minor"/>
      </rPr>
      <t>-1</t>
    </r>
  </si>
  <si>
    <t>nb clients</t>
  </si>
  <si>
    <t>Classe</t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</si>
  <si>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</si>
  <si>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</si>
  <si>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</si>
  <si>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</si>
  <si>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t>Rabais</t>
  </si>
  <si>
    <t>Primes</t>
  </si>
  <si>
    <r>
      <t>P</t>
    </r>
    <r>
      <rPr>
        <vertAlign val="subscript"/>
        <sz val="11"/>
        <color theme="0"/>
        <rFont val="Calibri"/>
        <family val="2"/>
        <scheme val="minor"/>
      </rPr>
      <t>0</t>
    </r>
  </si>
  <si>
    <t>P</t>
  </si>
  <si>
    <t>P1</t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</si>
  <si>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</si>
  <si>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t>Revenu</t>
  </si>
  <si>
    <t>P2</t>
  </si>
  <si>
    <t>P3</t>
  </si>
  <si>
    <t>P4</t>
  </si>
  <si>
    <t>P5</t>
  </si>
  <si>
    <t>X</t>
  </si>
  <si>
    <t>=</t>
  </si>
  <si>
    <t>Y</t>
  </si>
  <si>
    <t>x</t>
  </si>
  <si>
    <r>
      <t>X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. Y</t>
    </r>
  </si>
  <si>
    <t>Validation</t>
  </si>
  <si>
    <t>VBA</t>
  </si>
  <si>
    <t>Une seule fonction</t>
  </si>
  <si>
    <t>Macro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</si>
</sst>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\ &quot;$&quot;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106</xdr:row>
          <xdr:rowOff>25400</xdr:rowOff>
        </xdr:from>
        <xdr:to>
          <xdr:col>20</xdr:col>
          <xdr:colOff>177800</xdr:colOff>
          <xdr:row>107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128"/>
  <sheetViews>
    <sheetView tabSelected="1" zoomScale="180" zoomScaleNormal="180" workbookViewId="0">
      <selection activeCell="E7" sqref="E7"/>
    </sheetView>
  </sheetViews>
  <sheetFormatPr baseColWidth="10" defaultColWidth="5.83203125" defaultRowHeight="15" x14ac:dyDescent="0.2"/>
  <cols>
    <col min="1" max="1" width="9.5" style="1" bestFit="1" customWidth="1"/>
    <col min="2" max="2" width="11.6640625" style="1" bestFit="1" customWidth="1"/>
    <col min="3" max="7" width="5.83203125" style="1"/>
    <col min="8" max="8" width="9.6640625" style="1" bestFit="1" customWidth="1"/>
    <col min="9" max="11" width="9.5" style="1" bestFit="1" customWidth="1"/>
    <col min="12" max="22" width="5.83203125" style="1"/>
    <col min="23" max="23" width="7.1640625" style="1" bestFit="1" customWidth="1"/>
    <col min="24" max="16384" width="5.83203125" style="1"/>
  </cols>
  <sheetData>
    <row r="1" spans="2:25" x14ac:dyDescent="0.2">
      <c r="B1" s="14" t="s">
        <v>6</v>
      </c>
      <c r="C1" s="15"/>
      <c r="D1" s="15"/>
    </row>
    <row r="2" spans="2:25" ht="16" thickBot="1" x14ac:dyDescent="0.25">
      <c r="B2" s="1" t="s">
        <v>1</v>
      </c>
      <c r="H2" s="1" t="s">
        <v>3</v>
      </c>
    </row>
    <row r="3" spans="2:25" x14ac:dyDescent="0.2">
      <c r="B3" s="2">
        <v>0.3</v>
      </c>
      <c r="C3" s="3">
        <v>0.5</v>
      </c>
      <c r="D3" s="3">
        <v>0.92377387374119846</v>
      </c>
      <c r="E3" s="4">
        <v>0.95827511093920525</v>
      </c>
      <c r="H3" s="2">
        <v>0.3</v>
      </c>
      <c r="I3" s="3">
        <v>0.5</v>
      </c>
      <c r="J3" s="3">
        <v>0.92377387374119846</v>
      </c>
      <c r="K3" s="4">
        <v>0.95827511093920525</v>
      </c>
    </row>
    <row r="4" spans="2:25" x14ac:dyDescent="0.2">
      <c r="B4" s="5">
        <v>0.33697296514291397</v>
      </c>
      <c r="C4" s="6">
        <v>0.33232547557717085</v>
      </c>
      <c r="D4" s="6">
        <v>0.67767173702509598</v>
      </c>
      <c r="E4" s="7">
        <v>0.19363481490606604</v>
      </c>
      <c r="H4" s="5">
        <v>0.33697296514291397</v>
      </c>
      <c r="I4" s="6">
        <v>0.33232547557717085</v>
      </c>
      <c r="J4" s="6">
        <v>0.67767173702509598</v>
      </c>
      <c r="K4" s="7">
        <v>0.19363481490606604</v>
      </c>
    </row>
    <row r="5" spans="2:25" x14ac:dyDescent="0.2">
      <c r="B5" s="5">
        <v>0.98015644221677878</v>
      </c>
      <c r="C5" s="6">
        <v>3.7115779024069595E-2</v>
      </c>
      <c r="D5" s="6">
        <v>0.47465718926654688</v>
      </c>
      <c r="E5" s="7">
        <v>3.3293394625483086E-2</v>
      </c>
      <c r="H5" s="5">
        <v>0.98015644221677878</v>
      </c>
      <c r="I5" s="6">
        <v>3.7115779024069595E-2</v>
      </c>
      <c r="J5" s="6">
        <v>0.47465718926654688</v>
      </c>
      <c r="K5" s="7">
        <v>3.3293394625483086E-2</v>
      </c>
    </row>
    <row r="6" spans="2:25" ht="16" thickBot="1" x14ac:dyDescent="0.25">
      <c r="B6" s="8">
        <v>0.73188865870743391</v>
      </c>
      <c r="C6" s="9">
        <v>0.19385125442483775</v>
      </c>
      <c r="D6" s="9">
        <v>0.80584487578747921</v>
      </c>
      <c r="E6" s="10">
        <v>0.73476662521751102</v>
      </c>
      <c r="H6" s="8">
        <v>0.73188865870743391</v>
      </c>
      <c r="I6" s="9">
        <v>0.19385125442483775</v>
      </c>
      <c r="J6" s="9">
        <v>0.80584487578747921</v>
      </c>
      <c r="K6" s="10">
        <v>0.73476662521751102</v>
      </c>
    </row>
    <row r="8" spans="2:25" x14ac:dyDescent="0.2">
      <c r="J8" s="1" t="s">
        <v>0</v>
      </c>
    </row>
    <row r="9" spans="2:25" x14ac:dyDescent="0.2">
      <c r="E9" s="1" t="s">
        <v>4</v>
      </c>
      <c r="K9" s="1" t="s">
        <v>5</v>
      </c>
    </row>
    <row r="10" spans="2:25" x14ac:dyDescent="0.2">
      <c r="E10" s="13">
        <f>B3+H3</f>
        <v>0.6</v>
      </c>
      <c r="F10" s="13">
        <f t="shared" ref="F10:H13" si="0">C3+I3</f>
        <v>1</v>
      </c>
      <c r="G10" s="13">
        <f t="shared" si="0"/>
        <v>1.8475477474823969</v>
      </c>
      <c r="H10" s="13">
        <f t="shared" si="0"/>
        <v>1.9165502218784105</v>
      </c>
      <c r="K10" s="12">
        <f t="array" ref="K10:N13">B3:E6+H3:K6</f>
        <v>0.6</v>
      </c>
      <c r="L10" s="12">
        <v>1</v>
      </c>
      <c r="M10" s="12">
        <v>1.8475477474823969</v>
      </c>
      <c r="N10" s="12">
        <v>1.9165502218784105</v>
      </c>
      <c r="Q10" s="1">
        <f t="array" ref="Q10:T13">B3:E6+H3:K6</f>
        <v>0.6</v>
      </c>
      <c r="R10" s="1">
        <v>1</v>
      </c>
      <c r="S10" s="1">
        <v>1.8475477474823969</v>
      </c>
      <c r="T10" s="1">
        <v>1.9165502218784105</v>
      </c>
      <c r="V10" s="1">
        <f t="array" ref="V10:Y13">B3:E6+H3:K6</f>
        <v>0.6</v>
      </c>
      <c r="W10" s="1">
        <v>1</v>
      </c>
      <c r="X10" s="1">
        <v>1.8475477474823969</v>
      </c>
      <c r="Y10" s="1">
        <v>1.9165502218784105</v>
      </c>
    </row>
    <row r="11" spans="2:25" x14ac:dyDescent="0.2">
      <c r="E11" s="13">
        <f t="shared" ref="E11:E13" si="1">B4+H4</f>
        <v>0.67394593028582794</v>
      </c>
      <c r="F11" s="13">
        <f t="shared" si="0"/>
        <v>0.6646509511543417</v>
      </c>
      <c r="G11" s="13">
        <f t="shared" si="0"/>
        <v>1.355343474050192</v>
      </c>
      <c r="H11" s="13">
        <f t="shared" si="0"/>
        <v>0.38726962981213209</v>
      </c>
      <c r="K11" s="12">
        <v>0.67394593028582794</v>
      </c>
      <c r="L11" s="12">
        <v>0.6646509511543417</v>
      </c>
      <c r="M11" s="12">
        <v>1.355343474050192</v>
      </c>
      <c r="N11" s="12">
        <v>0.38726962981213209</v>
      </c>
      <c r="Q11" s="1">
        <v>0.67394593028582794</v>
      </c>
      <c r="R11" s="1">
        <v>0.6646509511543417</v>
      </c>
      <c r="S11" s="1">
        <v>1.355343474050192</v>
      </c>
      <c r="T11" s="1">
        <v>0.38726962981213209</v>
      </c>
      <c r="V11" s="1">
        <v>0.67394593028582794</v>
      </c>
      <c r="W11" s="1">
        <v>0.6646509511543417</v>
      </c>
      <c r="X11" s="1">
        <v>1.355343474050192</v>
      </c>
      <c r="Y11" s="1">
        <v>0.38726962981213209</v>
      </c>
    </row>
    <row r="12" spans="2:25" x14ac:dyDescent="0.2">
      <c r="E12" s="13">
        <f t="shared" si="1"/>
        <v>1.9603128844335576</v>
      </c>
      <c r="F12" s="13">
        <f t="shared" si="0"/>
        <v>7.423155804813919E-2</v>
      </c>
      <c r="G12" s="13">
        <f t="shared" si="0"/>
        <v>0.94931437853309375</v>
      </c>
      <c r="H12" s="13">
        <f t="shared" si="0"/>
        <v>6.6586789250966172E-2</v>
      </c>
      <c r="K12" s="12">
        <v>1.9603128844335576</v>
      </c>
      <c r="L12" s="12">
        <v>7.423155804813919E-2</v>
      </c>
      <c r="M12" s="12">
        <v>0.94931437853309375</v>
      </c>
      <c r="N12" s="12">
        <v>6.6586789250966172E-2</v>
      </c>
      <c r="Q12" s="1">
        <v>1.9603128844335576</v>
      </c>
      <c r="R12" s="1">
        <v>7.423155804813919E-2</v>
      </c>
      <c r="S12" s="1">
        <v>0.94931437853309375</v>
      </c>
      <c r="T12" s="1">
        <v>6.6586789250966172E-2</v>
      </c>
      <c r="V12" s="1">
        <v>1.9603128844335576</v>
      </c>
      <c r="W12" s="1">
        <v>7.423155804813919E-2</v>
      </c>
      <c r="X12" s="1">
        <v>0.94931437853309375</v>
      </c>
      <c r="Y12" s="1">
        <v>6.6586789250966172E-2</v>
      </c>
    </row>
    <row r="13" spans="2:25" x14ac:dyDescent="0.2">
      <c r="E13" s="13">
        <f t="shared" si="1"/>
        <v>1.4637773174148678</v>
      </c>
      <c r="F13" s="13">
        <f t="shared" si="0"/>
        <v>0.3877025088496755</v>
      </c>
      <c r="G13" s="13">
        <f t="shared" si="0"/>
        <v>1.6116897515749584</v>
      </c>
      <c r="H13" s="13">
        <f t="shared" si="0"/>
        <v>1.469533250435022</v>
      </c>
      <c r="K13" s="12">
        <v>1.4637773174148678</v>
      </c>
      <c r="L13" s="12">
        <v>0.3877025088496755</v>
      </c>
      <c r="M13" s="12">
        <v>1.6116897515749584</v>
      </c>
      <c r="N13" s="12">
        <v>1.469533250435022</v>
      </c>
      <c r="Q13" s="1">
        <v>1.4637773174148678</v>
      </c>
      <c r="R13" s="1">
        <v>0.3877025088496755</v>
      </c>
      <c r="S13" s="1">
        <v>1.6116897515749584</v>
      </c>
      <c r="T13" s="1">
        <v>1.469533250435022</v>
      </c>
      <c r="V13" s="1">
        <v>1.4637773174148678</v>
      </c>
      <c r="W13" s="1">
        <v>0.3877025088496755</v>
      </c>
      <c r="X13" s="1">
        <v>1.6116897515749584</v>
      </c>
      <c r="Y13" s="1">
        <v>1.469533250435022</v>
      </c>
    </row>
    <row r="17" spans="2:20" x14ac:dyDescent="0.2">
      <c r="B17" s="14" t="s">
        <v>7</v>
      </c>
      <c r="C17" s="15"/>
      <c r="D17" s="15"/>
      <c r="E17" s="15"/>
    </row>
    <row r="18" spans="2:20" ht="16" thickBot="1" x14ac:dyDescent="0.25">
      <c r="B18" s="1" t="s">
        <v>1</v>
      </c>
    </row>
    <row r="19" spans="2:20" x14ac:dyDescent="0.2">
      <c r="B19" s="2">
        <v>0.3</v>
      </c>
      <c r="C19" s="3">
        <v>0.5</v>
      </c>
      <c r="D19" s="3">
        <v>0.92377387374119846</v>
      </c>
      <c r="E19" s="4">
        <v>0.95827511093920525</v>
      </c>
      <c r="I19" s="1">
        <f t="array" ref="I19:L22">B19:E22*3.14</f>
        <v>0.94199999999999995</v>
      </c>
      <c r="J19" s="1">
        <v>1.57</v>
      </c>
      <c r="K19" s="1">
        <v>2.9006499635473633</v>
      </c>
      <c r="L19" s="1">
        <v>3.0089838483491045</v>
      </c>
      <c r="N19" s="1">
        <v>3.14</v>
      </c>
      <c r="Q19" s="1">
        <f t="shared" ref="Q19:T22" si="2">B19*$N$19</f>
        <v>0.94199999999999995</v>
      </c>
      <c r="R19" s="1">
        <f t="shared" si="2"/>
        <v>1.57</v>
      </c>
      <c r="S19" s="1">
        <f t="shared" si="2"/>
        <v>2.9006499635473633</v>
      </c>
      <c r="T19" s="1">
        <f t="shared" si="2"/>
        <v>3.0089838483491045</v>
      </c>
    </row>
    <row r="20" spans="2:20" x14ac:dyDescent="0.2">
      <c r="B20" s="5">
        <v>0.33697296514291397</v>
      </c>
      <c r="C20" s="6">
        <v>0.33232547557717085</v>
      </c>
      <c r="D20" s="6">
        <v>0.67767173702509598</v>
      </c>
      <c r="E20" s="7">
        <v>0.19363481490606604</v>
      </c>
      <c r="G20" s="1" t="s">
        <v>8</v>
      </c>
      <c r="I20" s="1">
        <v>1.0580951105487499</v>
      </c>
      <c r="J20" s="1">
        <v>1.0435019933123164</v>
      </c>
      <c r="K20" s="1">
        <v>2.1278892542588013</v>
      </c>
      <c r="L20" s="1">
        <v>0.60801331880504739</v>
      </c>
      <c r="Q20" s="1">
        <f t="shared" si="2"/>
        <v>1.0580951105487499</v>
      </c>
      <c r="R20" s="1">
        <f t="shared" si="2"/>
        <v>1.0435019933123164</v>
      </c>
      <c r="S20" s="1">
        <f t="shared" si="2"/>
        <v>2.1278892542588013</v>
      </c>
      <c r="T20" s="1">
        <f t="shared" si="2"/>
        <v>0.60801331880504739</v>
      </c>
    </row>
    <row r="21" spans="2:20" x14ac:dyDescent="0.2">
      <c r="B21" s="5">
        <v>0.98015644221677878</v>
      </c>
      <c r="C21" s="6">
        <v>3.7115779024069595E-2</v>
      </c>
      <c r="D21" s="6">
        <v>0.47465718926654688</v>
      </c>
      <c r="E21" s="7">
        <v>3.3293394625483086E-2</v>
      </c>
      <c r="I21" s="1">
        <v>3.0776912285606857</v>
      </c>
      <c r="J21" s="1">
        <v>0.11654354613557853</v>
      </c>
      <c r="K21" s="1">
        <v>1.4904235742969572</v>
      </c>
      <c r="L21" s="1">
        <v>0.10454125912401689</v>
      </c>
      <c r="Q21" s="1">
        <f t="shared" si="2"/>
        <v>3.0776912285606857</v>
      </c>
      <c r="R21" s="1">
        <f t="shared" si="2"/>
        <v>0.11654354613557853</v>
      </c>
      <c r="S21" s="1">
        <f t="shared" si="2"/>
        <v>1.4904235742969572</v>
      </c>
      <c r="T21" s="1">
        <f t="shared" si="2"/>
        <v>0.10454125912401689</v>
      </c>
    </row>
    <row r="22" spans="2:20" ht="16" thickBot="1" x14ac:dyDescent="0.25">
      <c r="B22" s="8">
        <v>0.73188865870743391</v>
      </c>
      <c r="C22" s="9">
        <v>0.19385125442483775</v>
      </c>
      <c r="D22" s="9">
        <v>0.80584487578747921</v>
      </c>
      <c r="E22" s="10">
        <v>0.73476662521751102</v>
      </c>
      <c r="I22" s="1">
        <v>2.2981303883413426</v>
      </c>
      <c r="J22" s="1">
        <v>0.60869293889399056</v>
      </c>
      <c r="K22" s="1">
        <v>2.5303529099726849</v>
      </c>
      <c r="L22" s="1">
        <v>2.3071672031829848</v>
      </c>
      <c r="Q22" s="1">
        <f t="shared" si="2"/>
        <v>2.2981303883413426</v>
      </c>
      <c r="R22" s="1">
        <f t="shared" si="2"/>
        <v>0.60869293889399056</v>
      </c>
      <c r="S22" s="1">
        <f t="shared" si="2"/>
        <v>2.5303529099726849</v>
      </c>
      <c r="T22" s="1">
        <f t="shared" si="2"/>
        <v>2.3071672031829848</v>
      </c>
    </row>
    <row r="25" spans="2:20" x14ac:dyDescent="0.2">
      <c r="B25" s="14" t="s">
        <v>9</v>
      </c>
      <c r="C25" s="15"/>
      <c r="D25" s="15"/>
      <c r="E25" s="15"/>
    </row>
    <row r="26" spans="2:20" ht="16" thickBot="1" x14ac:dyDescent="0.25">
      <c r="B26" s="1" t="s">
        <v>1</v>
      </c>
      <c r="H26" s="1" t="s">
        <v>2</v>
      </c>
    </row>
    <row r="27" spans="2:20" x14ac:dyDescent="0.2">
      <c r="B27" s="2">
        <v>0.3</v>
      </c>
      <c r="C27" s="3">
        <v>0.5</v>
      </c>
      <c r="D27" s="3">
        <v>0.92377387374119846</v>
      </c>
      <c r="E27" s="4">
        <v>0.95827511093920525</v>
      </c>
      <c r="H27" s="1">
        <v>0.70701221501084288</v>
      </c>
      <c r="I27" s="1">
        <v>0.91668191518622621</v>
      </c>
      <c r="M27" s="1">
        <f t="array" ref="M27:N29">MMULT(B27:E29,H27:I30)</f>
        <v>1.3991728637737415</v>
      </c>
      <c r="N27" s="1">
        <v>1.4865440140057404</v>
      </c>
    </row>
    <row r="28" spans="2:20" x14ac:dyDescent="0.2">
      <c r="B28" s="5">
        <v>0.33697296514291397</v>
      </c>
      <c r="C28" s="6">
        <v>0.33232547557717085</v>
      </c>
      <c r="D28" s="6">
        <v>0.67767173702509598</v>
      </c>
      <c r="E28" s="7">
        <v>0.19363481490606604</v>
      </c>
      <c r="H28" s="1">
        <v>0.33606879738833118</v>
      </c>
      <c r="I28" s="1">
        <v>0.87913176634862111</v>
      </c>
      <c r="K28" s="1" t="s">
        <v>10</v>
      </c>
      <c r="M28" s="1">
        <v>1.0043102289798462</v>
      </c>
      <c r="N28" s="1">
        <v>1.0682659470682412</v>
      </c>
    </row>
    <row r="29" spans="2:20" x14ac:dyDescent="0.2">
      <c r="B29" s="5">
        <v>0.98015644221677878</v>
      </c>
      <c r="C29" s="6">
        <v>3.7115779024069595E-2</v>
      </c>
      <c r="D29" s="6">
        <v>0.47465718926654688</v>
      </c>
      <c r="E29" s="7">
        <v>3.3293394625483086E-2</v>
      </c>
      <c r="H29" s="1">
        <v>0.91336457119120795</v>
      </c>
      <c r="I29" s="1">
        <v>0.63384130484882806</v>
      </c>
      <c r="M29" s="1">
        <v>1.1450812867636844</v>
      </c>
      <c r="N29" s="1">
        <v>1.2384564316095925</v>
      </c>
    </row>
    <row r="30" spans="2:20" x14ac:dyDescent="0.2">
      <c r="H30" s="1">
        <v>0.18292499774646986</v>
      </c>
      <c r="I30" s="1">
        <v>0.19456575322659375</v>
      </c>
    </row>
    <row r="34" spans="2:21" x14ac:dyDescent="0.2">
      <c r="B34" s="14" t="s">
        <v>11</v>
      </c>
      <c r="C34" s="15"/>
      <c r="D34" s="15"/>
      <c r="E34" s="15"/>
    </row>
    <row r="35" spans="2:21" ht="16" thickBot="1" x14ac:dyDescent="0.25">
      <c r="B35" s="1" t="s">
        <v>1</v>
      </c>
    </row>
    <row r="36" spans="2:21" ht="16" thickBot="1" x14ac:dyDescent="0.25">
      <c r="B36" s="2">
        <v>0.3</v>
      </c>
      <c r="C36" s="3">
        <v>0.5</v>
      </c>
      <c r="D36" s="3">
        <v>0.92377387374119846</v>
      </c>
      <c r="E36" s="4">
        <v>0.95827511093920525</v>
      </c>
      <c r="H36" s="1">
        <f t="array" ref="H36:J39">TRANSPOSE(B36:E38)</f>
        <v>0.3</v>
      </c>
      <c r="I36" s="1">
        <v>0.33697296514291397</v>
      </c>
      <c r="J36" s="1">
        <v>0.98015644221677878</v>
      </c>
      <c r="N36" s="2">
        <v>0.3</v>
      </c>
      <c r="O36" s="16">
        <v>0.33697296514291397</v>
      </c>
      <c r="P36" s="19">
        <v>0.98015644221677878</v>
      </c>
    </row>
    <row r="37" spans="2:21" ht="16" thickBot="1" x14ac:dyDescent="0.25">
      <c r="B37" s="16">
        <v>0.33697296514291397</v>
      </c>
      <c r="C37" s="17">
        <v>0.33232547557717085</v>
      </c>
      <c r="D37" s="17">
        <v>0.67767173702509598</v>
      </c>
      <c r="E37" s="18">
        <v>0.19363481490606604</v>
      </c>
      <c r="H37" s="1">
        <v>0.5</v>
      </c>
      <c r="I37" s="1">
        <v>0.33232547557717085</v>
      </c>
      <c r="J37" s="1">
        <v>3.7115779024069595E-2</v>
      </c>
      <c r="N37" s="3">
        <v>0.5</v>
      </c>
      <c r="O37" s="17">
        <v>0.33232547557717085</v>
      </c>
      <c r="P37" s="20">
        <v>3.7115779024069595E-2</v>
      </c>
    </row>
    <row r="38" spans="2:21" ht="16" thickBot="1" x14ac:dyDescent="0.25">
      <c r="B38" s="19">
        <v>0.98015644221677878</v>
      </c>
      <c r="C38" s="20">
        <v>3.7115779024069595E-2</v>
      </c>
      <c r="D38" s="20">
        <v>0.47465718926654688</v>
      </c>
      <c r="E38" s="21">
        <v>3.3293394625483086E-2</v>
      </c>
      <c r="H38" s="1">
        <v>0.92377387374119846</v>
      </c>
      <c r="I38" s="1">
        <v>0.67767173702509598</v>
      </c>
      <c r="J38" s="1">
        <v>0.47465718926654688</v>
      </c>
      <c r="N38" s="3">
        <v>0.92377387374119846</v>
      </c>
      <c r="O38" s="17">
        <v>0.67767173702509598</v>
      </c>
      <c r="P38" s="20">
        <v>0.47465718926654688</v>
      </c>
    </row>
    <row r="39" spans="2:21" x14ac:dyDescent="0.2">
      <c r="H39" s="1">
        <v>0.95827511093920525</v>
      </c>
      <c r="I39" s="1">
        <v>0.19363481490606604</v>
      </c>
      <c r="J39" s="1">
        <v>3.3293394625483086E-2</v>
      </c>
      <c r="N39" s="4">
        <v>0.95827511093920525</v>
      </c>
      <c r="O39" s="18">
        <v>0.19363481490606604</v>
      </c>
      <c r="P39" s="21">
        <v>3.3293394625483086E-2</v>
      </c>
    </row>
    <row r="42" spans="2:21" x14ac:dyDescent="0.2">
      <c r="B42" s="14" t="s">
        <v>12</v>
      </c>
      <c r="C42" s="15"/>
      <c r="D42" s="15"/>
      <c r="E42" s="15"/>
    </row>
    <row r="43" spans="2:21" ht="18" thickBot="1" x14ac:dyDescent="0.25">
      <c r="B43" s="1" t="s">
        <v>1</v>
      </c>
      <c r="N43" s="1" t="s">
        <v>2</v>
      </c>
      <c r="S43" s="1" t="s">
        <v>13</v>
      </c>
    </row>
    <row r="44" spans="2:21" x14ac:dyDescent="0.2">
      <c r="B44" s="2">
        <v>0.3</v>
      </c>
      <c r="C44" s="3">
        <v>0.5</v>
      </c>
      <c r="D44" s="3">
        <v>0.92377387374119846</v>
      </c>
      <c r="E44" s="4">
        <v>0.95827511093920525</v>
      </c>
      <c r="H44" s="22" t="e">
        <f t="array" ref="H44:K46">MINVERSE(B44:E46)</f>
        <v>#VALUE!</v>
      </c>
      <c r="I44" s="22" t="e">
        <v>#VALUE!</v>
      </c>
      <c r="J44" s="22" t="e">
        <v>#VALUE!</v>
      </c>
      <c r="K44" s="22" t="e">
        <v>#VALUE!</v>
      </c>
      <c r="N44" s="2">
        <v>0.3</v>
      </c>
      <c r="O44" s="3">
        <v>0.5</v>
      </c>
      <c r="P44" s="3">
        <v>0.92377387374119846</v>
      </c>
      <c r="S44" s="1">
        <f t="array" ref="S44:U46">MINVERSE(N44:P46)</f>
        <v>51.645991432324756</v>
      </c>
      <c r="T44" s="1">
        <v>-79.089187411342991</v>
      </c>
      <c r="U44" s="1">
        <v>12.403245073359102</v>
      </c>
    </row>
    <row r="45" spans="2:21" x14ac:dyDescent="0.2">
      <c r="B45" s="16">
        <v>0.33697296514291397</v>
      </c>
      <c r="C45" s="17">
        <v>0.33232547557717085</v>
      </c>
      <c r="D45" s="17">
        <v>0.67767173702509598</v>
      </c>
      <c r="E45" s="18">
        <v>0.19363481490606604</v>
      </c>
      <c r="H45" s="22" t="e">
        <v>#VALUE!</v>
      </c>
      <c r="I45" s="22" t="e">
        <v>#VALUE!</v>
      </c>
      <c r="J45" s="22" t="e">
        <v>#VALUE!</v>
      </c>
      <c r="K45" s="22" t="e">
        <v>#VALUE!</v>
      </c>
      <c r="N45" s="16">
        <v>0.33697296514291397</v>
      </c>
      <c r="O45" s="17">
        <v>0.33232547557717085</v>
      </c>
      <c r="P45" s="17">
        <v>0.67767173702509598</v>
      </c>
      <c r="S45" s="1">
        <v>196.42689836185411</v>
      </c>
      <c r="T45" s="1">
        <v>-297.22257748490489</v>
      </c>
      <c r="U45" s="1">
        <v>42.062574868873234</v>
      </c>
    </row>
    <row r="46" spans="2:21" x14ac:dyDescent="0.2">
      <c r="B46" s="19">
        <v>0.98015644221677878</v>
      </c>
      <c r="C46" s="20">
        <v>3.7115779024069595E-2</v>
      </c>
      <c r="D46" s="20">
        <v>0.47465718926654688</v>
      </c>
      <c r="E46" s="21">
        <v>3.3293394625483086E-2</v>
      </c>
      <c r="H46" s="22" t="e">
        <v>#VALUE!</v>
      </c>
      <c r="I46" s="22" t="e">
        <v>#VALUE!</v>
      </c>
      <c r="J46" s="22" t="e">
        <v>#VALUE!</v>
      </c>
      <c r="K46" s="22" t="e">
        <v>#VALUE!</v>
      </c>
      <c r="N46" s="19">
        <v>0.98015644221677878</v>
      </c>
      <c r="O46" s="20">
        <v>3.7115779024069595E-2</v>
      </c>
      <c r="P46" s="20">
        <v>0.47465718926654688</v>
      </c>
      <c r="S46" s="1">
        <v>-122.00739792972341</v>
      </c>
      <c r="T46" s="1">
        <v>186.55869132551049</v>
      </c>
      <c r="U46" s="1">
        <v>-26.794718556176509</v>
      </c>
    </row>
    <row r="50" spans="1:23" x14ac:dyDescent="0.2">
      <c r="B50" s="1">
        <v>0.47753164929947234</v>
      </c>
      <c r="C50" s="1">
        <v>0.88687158152054035</v>
      </c>
      <c r="D50" s="1">
        <v>0.11840531739057292</v>
      </c>
      <c r="E50" s="1">
        <v>0.52032881077489723</v>
      </c>
      <c r="H50" s="1">
        <f t="array" ref="H50:K53">matD*3.14</f>
        <v>1.4994493788003431</v>
      </c>
      <c r="I50" s="1">
        <v>2.7847767659744966</v>
      </c>
      <c r="J50" s="1">
        <v>0.37179269660639896</v>
      </c>
      <c r="K50" s="1">
        <v>1.6338324658331773</v>
      </c>
    </row>
    <row r="51" spans="1:23" x14ac:dyDescent="0.2">
      <c r="B51" s="1">
        <v>0.53468697649291153</v>
      </c>
      <c r="C51" s="1">
        <v>0.72099637119819826</v>
      </c>
      <c r="D51" s="23">
        <v>0.5762371583966045</v>
      </c>
      <c r="E51" s="23">
        <v>6.7411812451513953E-2</v>
      </c>
      <c r="H51" s="1">
        <v>1.6789171061877421</v>
      </c>
      <c r="I51" s="1">
        <v>2.2639286055623424</v>
      </c>
      <c r="J51" s="1">
        <v>1.8093846773653381</v>
      </c>
      <c r="K51" s="1">
        <v>0.21167309109775381</v>
      </c>
    </row>
    <row r="52" spans="1:23" x14ac:dyDescent="0.2">
      <c r="B52" s="1">
        <v>0.37306182554450351</v>
      </c>
      <c r="C52" s="1">
        <v>0.62304578710177549</v>
      </c>
      <c r="D52" s="23">
        <v>0.65979339065024034</v>
      </c>
      <c r="E52" s="23">
        <v>0.22596625811488791</v>
      </c>
      <c r="H52" s="1">
        <v>1.1714141322097411</v>
      </c>
      <c r="I52" s="1">
        <v>1.9563637714995752</v>
      </c>
      <c r="J52" s="1">
        <v>2.0717512466417549</v>
      </c>
      <c r="K52" s="1">
        <v>0.70953405048074802</v>
      </c>
    </row>
    <row r="53" spans="1:23" x14ac:dyDescent="0.2">
      <c r="B53" s="1">
        <v>0.31202433836578791</v>
      </c>
      <c r="C53" s="1">
        <v>0.45038320024858758</v>
      </c>
      <c r="D53" s="23">
        <v>0.80677216656176398</v>
      </c>
      <c r="E53" s="23">
        <v>0.7312684188654579</v>
      </c>
      <c r="H53" s="1">
        <v>0.97975642246857408</v>
      </c>
      <c r="I53" s="1">
        <v>1.4142032487805651</v>
      </c>
      <c r="J53" s="1">
        <v>2.5332646030039392</v>
      </c>
      <c r="K53" s="1">
        <v>2.2961828352375377</v>
      </c>
    </row>
    <row r="55" spans="1:23" x14ac:dyDescent="0.2">
      <c r="H55" s="24">
        <f t="array" aca="1" ref="H55:I57" ca="1">OFFSET(matD, 1,2)</f>
        <v>0.5762371583966045</v>
      </c>
      <c r="I55" s="24">
        <f ca="1"/>
        <v>6.7411812451513953E-2</v>
      </c>
    </row>
    <row r="56" spans="1:23" x14ac:dyDescent="0.2">
      <c r="H56" s="24">
        <f ca="1"/>
        <v>0.65979339065024034</v>
      </c>
      <c r="I56" s="24">
        <f ca="1"/>
        <v>0.22596625811488791</v>
      </c>
    </row>
    <row r="57" spans="1:23" x14ac:dyDescent="0.2">
      <c r="H57" s="24">
        <f ca="1"/>
        <v>0.80677216656176398</v>
      </c>
      <c r="I57" s="24">
        <f ca="1"/>
        <v>0.7312684188654579</v>
      </c>
    </row>
    <row r="61" spans="1:23" ht="17" x14ac:dyDescent="0.25">
      <c r="A61" s="1" t="s">
        <v>14</v>
      </c>
      <c r="B61" s="1">
        <v>1000</v>
      </c>
      <c r="H61" s="1" t="s">
        <v>23</v>
      </c>
      <c r="M61" s="1" t="s">
        <v>25</v>
      </c>
    </row>
    <row r="62" spans="1:23" ht="17" x14ac:dyDescent="0.25">
      <c r="A62" s="1" t="s">
        <v>15</v>
      </c>
      <c r="B62" s="1" t="s">
        <v>16</v>
      </c>
      <c r="C62" s="1" t="s">
        <v>17</v>
      </c>
      <c r="D62" s="1" t="s">
        <v>18</v>
      </c>
      <c r="E62" s="1" t="s">
        <v>19</v>
      </c>
      <c r="H62" s="13">
        <v>0.15</v>
      </c>
      <c r="I62" s="13">
        <v>0.85</v>
      </c>
      <c r="J62" s="13">
        <v>0</v>
      </c>
      <c r="K62" s="13">
        <v>0</v>
      </c>
      <c r="M62" s="1">
        <f t="array" ref="M62:P62">MMULT($B$63:$E$63,H62:K65)</f>
        <v>0.12</v>
      </c>
      <c r="N62" s="1">
        <v>0.36000000000000004</v>
      </c>
      <c r="O62" s="1">
        <v>0.26500000000000001</v>
      </c>
      <c r="P62" s="1">
        <v>0.255</v>
      </c>
    </row>
    <row r="63" spans="1:23" ht="17" x14ac:dyDescent="0.25">
      <c r="A63" s="25" t="s">
        <v>22</v>
      </c>
      <c r="B63" s="26">
        <v>0.4</v>
      </c>
      <c r="C63" s="26">
        <v>0.3</v>
      </c>
      <c r="D63" s="26">
        <v>0.2</v>
      </c>
      <c r="E63" s="26">
        <v>0.1</v>
      </c>
      <c r="H63" s="13">
        <v>0.15</v>
      </c>
      <c r="I63" s="13">
        <v>0</v>
      </c>
      <c r="J63" s="13">
        <v>0.85</v>
      </c>
      <c r="K63" s="13">
        <v>0</v>
      </c>
      <c r="S63" s="1">
        <f t="array" ref="S63:S66">TRANSPOSE(B65:E65)</f>
        <v>500</v>
      </c>
      <c r="U63" s="1">
        <f>MMULT(B63:E63,S63:S66)</f>
        <v>445</v>
      </c>
      <c r="W63" s="1">
        <f>U63*B61</f>
        <v>445000</v>
      </c>
    </row>
    <row r="64" spans="1:23" x14ac:dyDescent="0.2">
      <c r="A64" s="1" t="s">
        <v>20</v>
      </c>
      <c r="B64" s="1">
        <v>0</v>
      </c>
      <c r="C64" s="1">
        <v>0.1</v>
      </c>
      <c r="D64" s="1">
        <v>0.2</v>
      </c>
      <c r="E64" s="1">
        <v>0.4</v>
      </c>
      <c r="H64" s="13">
        <v>0.05</v>
      </c>
      <c r="I64" s="13">
        <v>0.1</v>
      </c>
      <c r="J64" s="13">
        <v>0</v>
      </c>
      <c r="K64" s="13">
        <v>0.85</v>
      </c>
      <c r="S64" s="1">
        <v>450</v>
      </c>
    </row>
    <row r="65" spans="1:19" x14ac:dyDescent="0.2">
      <c r="A65" s="1" t="s">
        <v>21</v>
      </c>
      <c r="B65" s="1">
        <v>500</v>
      </c>
      <c r="C65" s="1">
        <v>450</v>
      </c>
      <c r="D65" s="1">
        <v>400</v>
      </c>
      <c r="E65" s="1">
        <v>300</v>
      </c>
      <c r="H65" s="13">
        <v>0.05</v>
      </c>
      <c r="I65" s="13">
        <v>0</v>
      </c>
      <c r="J65" s="13">
        <v>0.1</v>
      </c>
      <c r="K65" s="13">
        <v>0.85</v>
      </c>
      <c r="S65" s="1">
        <v>400</v>
      </c>
    </row>
    <row r="66" spans="1:19" x14ac:dyDescent="0.2">
      <c r="S66" s="1">
        <v>300</v>
      </c>
    </row>
    <row r="67" spans="1:19" x14ac:dyDescent="0.2">
      <c r="A67" s="1" t="s">
        <v>26</v>
      </c>
      <c r="B67" s="27">
        <f t="array" ref="B67">$B$61*MMULT(B63:E63,TRANSPOSE(B65:E65))</f>
        <v>445000</v>
      </c>
    </row>
    <row r="70" spans="1:19" x14ac:dyDescent="0.2">
      <c r="A70" s="1" t="s">
        <v>14</v>
      </c>
      <c r="B70" s="1">
        <v>1000</v>
      </c>
      <c r="M70" s="1" t="s">
        <v>27</v>
      </c>
    </row>
    <row r="71" spans="1:19" ht="17" x14ac:dyDescent="0.25">
      <c r="A71" s="1" t="s">
        <v>15</v>
      </c>
      <c r="B71" s="1" t="s">
        <v>16</v>
      </c>
      <c r="C71" s="1" t="s">
        <v>17</v>
      </c>
      <c r="D71" s="1" t="s">
        <v>18</v>
      </c>
      <c r="E71" s="1" t="s">
        <v>19</v>
      </c>
      <c r="H71" s="13">
        <v>0.15</v>
      </c>
      <c r="I71" s="13">
        <v>0.85</v>
      </c>
      <c r="J71" s="13">
        <v>0</v>
      </c>
      <c r="K71" s="13">
        <v>0</v>
      </c>
      <c r="M71" s="1">
        <f t="array" ref="M71:P71">MMULT(B72:E72,H71:K74)</f>
        <v>9.8000000000000004E-2</v>
      </c>
      <c r="N71" s="1">
        <v>0.1285</v>
      </c>
      <c r="O71" s="1">
        <v>0.33150000000000007</v>
      </c>
      <c r="P71" s="1">
        <v>0.442</v>
      </c>
    </row>
    <row r="72" spans="1:19" x14ac:dyDescent="0.2">
      <c r="A72" s="25" t="s">
        <v>24</v>
      </c>
      <c r="B72" s="26">
        <f>M62</f>
        <v>0.12</v>
      </c>
      <c r="C72" s="26">
        <f t="shared" ref="C72:E72" si="3">N62</f>
        <v>0.36000000000000004</v>
      </c>
      <c r="D72" s="26">
        <f t="shared" si="3"/>
        <v>0.26500000000000001</v>
      </c>
      <c r="E72" s="26">
        <f t="shared" si="3"/>
        <v>0.255</v>
      </c>
      <c r="H72" s="13">
        <v>0.15</v>
      </c>
      <c r="I72" s="13">
        <v>0</v>
      </c>
      <c r="J72" s="13">
        <v>0.85</v>
      </c>
      <c r="K72" s="13">
        <v>0</v>
      </c>
    </row>
    <row r="73" spans="1:19" x14ac:dyDescent="0.2">
      <c r="A73" s="1" t="s">
        <v>20</v>
      </c>
      <c r="B73" s="1">
        <v>0</v>
      </c>
      <c r="C73" s="1">
        <v>0.1</v>
      </c>
      <c r="D73" s="1">
        <v>0.2</v>
      </c>
      <c r="E73" s="1">
        <v>0.4</v>
      </c>
      <c r="H73" s="13">
        <v>0.05</v>
      </c>
      <c r="I73" s="13">
        <v>0.1</v>
      </c>
      <c r="J73" s="13">
        <v>0</v>
      </c>
      <c r="K73" s="13">
        <v>0.85</v>
      </c>
    </row>
    <row r="74" spans="1:19" x14ac:dyDescent="0.2">
      <c r="A74" s="1" t="s">
        <v>21</v>
      </c>
      <c r="B74" s="1">
        <v>500</v>
      </c>
      <c r="C74" s="1">
        <v>450</v>
      </c>
      <c r="D74" s="1">
        <v>400</v>
      </c>
      <c r="E74" s="1">
        <v>300</v>
      </c>
      <c r="H74" s="13">
        <v>0.05</v>
      </c>
      <c r="I74" s="13">
        <v>0</v>
      </c>
      <c r="J74" s="13">
        <v>0.1</v>
      </c>
      <c r="K74" s="13">
        <v>0.85</v>
      </c>
    </row>
    <row r="76" spans="1:19" x14ac:dyDescent="0.2">
      <c r="A76" s="1" t="s">
        <v>26</v>
      </c>
      <c r="B76" s="27">
        <f t="array" ref="B76">$B$61*MMULT(B72:E72,TRANSPOSE(B74:E74))</f>
        <v>404500</v>
      </c>
    </row>
    <row r="79" spans="1:19" x14ac:dyDescent="0.2">
      <c r="A79" s="1" t="s">
        <v>14</v>
      </c>
      <c r="B79" s="1">
        <v>1000</v>
      </c>
      <c r="M79" s="1" t="s">
        <v>28</v>
      </c>
    </row>
    <row r="80" spans="1:19" ht="17" x14ac:dyDescent="0.25">
      <c r="A80" s="1" t="s">
        <v>15</v>
      </c>
      <c r="B80" s="1" t="s">
        <v>16</v>
      </c>
      <c r="C80" s="1" t="s">
        <v>17</v>
      </c>
      <c r="D80" s="1" t="s">
        <v>18</v>
      </c>
      <c r="E80" s="1" t="s">
        <v>19</v>
      </c>
      <c r="H80" s="13">
        <v>0.15</v>
      </c>
      <c r="I80" s="13">
        <v>0.85</v>
      </c>
      <c r="J80" s="13">
        <v>0</v>
      </c>
      <c r="K80" s="13">
        <v>0</v>
      </c>
      <c r="M80" s="1">
        <f t="array" ref="M80:P80">MMULT(B81:E81,H80:K83)</f>
        <v>7.2649999999999992E-2</v>
      </c>
      <c r="N80" s="1">
        <v>0.11645</v>
      </c>
      <c r="O80" s="1">
        <v>0.15342500000000001</v>
      </c>
      <c r="P80" s="1">
        <v>0.65747500000000003</v>
      </c>
    </row>
    <row r="81" spans="1:16" x14ac:dyDescent="0.2">
      <c r="A81" s="25" t="s">
        <v>27</v>
      </c>
      <c r="B81" s="26">
        <f>M71</f>
        <v>9.8000000000000004E-2</v>
      </c>
      <c r="C81" s="26">
        <f t="shared" ref="C81" si="4">N71</f>
        <v>0.1285</v>
      </c>
      <c r="D81" s="26">
        <f t="shared" ref="D81" si="5">O71</f>
        <v>0.33150000000000007</v>
      </c>
      <c r="E81" s="26">
        <f t="shared" ref="E81" si="6">P71</f>
        <v>0.442</v>
      </c>
      <c r="H81" s="13">
        <v>0.15</v>
      </c>
      <c r="I81" s="13">
        <v>0</v>
      </c>
      <c r="J81" s="13">
        <v>0.85</v>
      </c>
      <c r="K81" s="13">
        <v>0</v>
      </c>
    </row>
    <row r="82" spans="1:16" x14ac:dyDescent="0.2">
      <c r="A82" s="1" t="s">
        <v>20</v>
      </c>
      <c r="B82" s="1">
        <v>0</v>
      </c>
      <c r="C82" s="1">
        <v>0.1</v>
      </c>
      <c r="D82" s="1">
        <v>0.2</v>
      </c>
      <c r="E82" s="1">
        <v>0.4</v>
      </c>
      <c r="H82" s="13">
        <v>0.05</v>
      </c>
      <c r="I82" s="13">
        <v>0.1</v>
      </c>
      <c r="J82" s="13">
        <v>0</v>
      </c>
      <c r="K82" s="13">
        <v>0.85</v>
      </c>
    </row>
    <row r="83" spans="1:16" x14ac:dyDescent="0.2">
      <c r="A83" s="1" t="s">
        <v>21</v>
      </c>
      <c r="B83" s="1">
        <v>500</v>
      </c>
      <c r="C83" s="1">
        <v>450</v>
      </c>
      <c r="D83" s="1">
        <v>400</v>
      </c>
      <c r="E83" s="1">
        <v>300</v>
      </c>
      <c r="H83" s="13">
        <v>0.05</v>
      </c>
      <c r="I83" s="13">
        <v>0</v>
      </c>
      <c r="J83" s="13">
        <v>0.1</v>
      </c>
      <c r="K83" s="13">
        <v>0.85</v>
      </c>
    </row>
    <row r="85" spans="1:16" x14ac:dyDescent="0.2">
      <c r="A85" s="1" t="s">
        <v>26</v>
      </c>
      <c r="B85" s="27">
        <f t="array" ref="B85">$B$61*MMULT(B81:E81,TRANSPOSE(B83:E83))</f>
        <v>372025</v>
      </c>
    </row>
    <row r="88" spans="1:16" x14ac:dyDescent="0.2">
      <c r="A88" s="1" t="s">
        <v>14</v>
      </c>
      <c r="B88" s="1">
        <v>1000</v>
      </c>
      <c r="M88" s="1" t="s">
        <v>29</v>
      </c>
    </row>
    <row r="89" spans="1:16" ht="17" x14ac:dyDescent="0.25">
      <c r="A89" s="1" t="s">
        <v>15</v>
      </c>
      <c r="B89" s="1" t="s">
        <v>16</v>
      </c>
      <c r="C89" s="1" t="s">
        <v>17</v>
      </c>
      <c r="D89" s="1" t="s">
        <v>18</v>
      </c>
      <c r="E89" s="1" t="s">
        <v>19</v>
      </c>
      <c r="H89" s="13">
        <v>0.15</v>
      </c>
      <c r="I89" s="13">
        <v>0.85</v>
      </c>
      <c r="J89" s="13">
        <v>0</v>
      </c>
      <c r="K89" s="13">
        <v>0</v>
      </c>
      <c r="M89" s="1">
        <f t="array" ref="M89:P89">MMULT(B90:E90,H89:K92)</f>
        <v>6.8909999999999999E-2</v>
      </c>
      <c r="N89" s="1">
        <v>7.7094999999999997E-2</v>
      </c>
      <c r="O89" s="1">
        <v>0.16472999999999999</v>
      </c>
      <c r="P89" s="1">
        <v>0.68926500000000002</v>
      </c>
    </row>
    <row r="90" spans="1:16" x14ac:dyDescent="0.2">
      <c r="A90" s="25" t="s">
        <v>28</v>
      </c>
      <c r="B90" s="26">
        <f>M80</f>
        <v>7.2649999999999992E-2</v>
      </c>
      <c r="C90" s="26">
        <f t="shared" ref="C90" si="7">N80</f>
        <v>0.11645</v>
      </c>
      <c r="D90" s="26">
        <f t="shared" ref="D90" si="8">O80</f>
        <v>0.15342500000000001</v>
      </c>
      <c r="E90" s="26">
        <f t="shared" ref="E90" si="9">P80</f>
        <v>0.65747500000000003</v>
      </c>
      <c r="H90" s="13">
        <v>0.15</v>
      </c>
      <c r="I90" s="13">
        <v>0</v>
      </c>
      <c r="J90" s="13">
        <v>0.85</v>
      </c>
      <c r="K90" s="13">
        <v>0</v>
      </c>
    </row>
    <row r="91" spans="1:16" x14ac:dyDescent="0.2">
      <c r="A91" s="1" t="s">
        <v>20</v>
      </c>
      <c r="B91" s="1">
        <v>0</v>
      </c>
      <c r="C91" s="1">
        <v>0.1</v>
      </c>
      <c r="D91" s="1">
        <v>0.2</v>
      </c>
      <c r="E91" s="1">
        <v>0.4</v>
      </c>
      <c r="H91" s="13">
        <v>0.05</v>
      </c>
      <c r="I91" s="13">
        <v>0.1</v>
      </c>
      <c r="J91" s="13">
        <v>0</v>
      </c>
      <c r="K91" s="13">
        <v>0.85</v>
      </c>
    </row>
    <row r="92" spans="1:16" x14ac:dyDescent="0.2">
      <c r="A92" s="1" t="s">
        <v>21</v>
      </c>
      <c r="B92" s="1">
        <v>500</v>
      </c>
      <c r="C92" s="1">
        <v>450</v>
      </c>
      <c r="D92" s="1">
        <v>400</v>
      </c>
      <c r="E92" s="1">
        <v>300</v>
      </c>
      <c r="H92" s="13">
        <v>0.05</v>
      </c>
      <c r="I92" s="13">
        <v>0</v>
      </c>
      <c r="J92" s="13">
        <v>0.1</v>
      </c>
      <c r="K92" s="13">
        <v>0.85</v>
      </c>
    </row>
    <row r="94" spans="1:16" x14ac:dyDescent="0.2">
      <c r="A94" s="1" t="s">
        <v>26</v>
      </c>
      <c r="B94" s="27">
        <f t="array" ref="B94">$B$61*MMULT(B90:E90,TRANSPOSE(B92:E92))</f>
        <v>347340.00000000006</v>
      </c>
    </row>
    <row r="97" spans="1:16" x14ac:dyDescent="0.2">
      <c r="A97" s="1" t="s">
        <v>14</v>
      </c>
      <c r="B97" s="1">
        <v>1000</v>
      </c>
      <c r="M97" s="1" t="s">
        <v>30</v>
      </c>
    </row>
    <row r="98" spans="1:16" ht="17" x14ac:dyDescent="0.25">
      <c r="A98" s="1" t="s">
        <v>15</v>
      </c>
      <c r="B98" s="1" t="s">
        <v>16</v>
      </c>
      <c r="C98" s="1" t="s">
        <v>17</v>
      </c>
      <c r="D98" s="1" t="s">
        <v>18</v>
      </c>
      <c r="E98" s="1" t="s">
        <v>19</v>
      </c>
      <c r="H98" s="13">
        <v>0.15</v>
      </c>
      <c r="I98" s="13">
        <v>0.85</v>
      </c>
      <c r="J98" s="13">
        <v>0</v>
      </c>
      <c r="K98" s="13">
        <v>0</v>
      </c>
      <c r="M98" s="1">
        <f t="array" ref="M98:P98">MMULT(B99:E99,H98:K101)</f>
        <v>6.4600500000000005E-2</v>
      </c>
      <c r="N98" s="1">
        <v>7.5046500000000002E-2</v>
      </c>
      <c r="O98" s="1">
        <v>0.13445725</v>
      </c>
      <c r="P98" s="1">
        <v>0.72589574999999995</v>
      </c>
    </row>
    <row r="99" spans="1:16" x14ac:dyDescent="0.2">
      <c r="A99" s="25" t="s">
        <v>29</v>
      </c>
      <c r="B99" s="26">
        <f>M89</f>
        <v>6.8909999999999999E-2</v>
      </c>
      <c r="C99" s="26">
        <f t="shared" ref="C99" si="10">N89</f>
        <v>7.7094999999999997E-2</v>
      </c>
      <c r="D99" s="26">
        <f t="shared" ref="D99" si="11">O89</f>
        <v>0.16472999999999999</v>
      </c>
      <c r="E99" s="26">
        <f t="shared" ref="E99" si="12">P89</f>
        <v>0.68926500000000002</v>
      </c>
      <c r="H99" s="13">
        <v>0.15</v>
      </c>
      <c r="I99" s="13">
        <v>0</v>
      </c>
      <c r="J99" s="13">
        <v>0.85</v>
      </c>
      <c r="K99" s="13">
        <v>0</v>
      </c>
    </row>
    <row r="100" spans="1:16" x14ac:dyDescent="0.2">
      <c r="A100" s="1" t="s">
        <v>20</v>
      </c>
      <c r="B100" s="1">
        <v>0</v>
      </c>
      <c r="C100" s="1">
        <v>0.1</v>
      </c>
      <c r="D100" s="1">
        <v>0.2</v>
      </c>
      <c r="E100" s="1">
        <v>0.4</v>
      </c>
      <c r="H100" s="13">
        <v>0.05</v>
      </c>
      <c r="I100" s="13">
        <v>0.1</v>
      </c>
      <c r="J100" s="13">
        <v>0</v>
      </c>
      <c r="K100" s="13">
        <v>0.85</v>
      </c>
    </row>
    <row r="101" spans="1:16" x14ac:dyDescent="0.2">
      <c r="A101" s="1" t="s">
        <v>21</v>
      </c>
      <c r="B101" s="1">
        <v>500</v>
      </c>
      <c r="C101" s="1">
        <v>450</v>
      </c>
      <c r="D101" s="1">
        <v>400</v>
      </c>
      <c r="E101" s="1">
        <v>300</v>
      </c>
      <c r="H101" s="13">
        <v>0.05</v>
      </c>
      <c r="I101" s="13">
        <v>0</v>
      </c>
      <c r="J101" s="13">
        <v>0.1</v>
      </c>
      <c r="K101" s="13">
        <v>0.85</v>
      </c>
    </row>
    <row r="103" spans="1:16" x14ac:dyDescent="0.2">
      <c r="A103" s="1" t="s">
        <v>26</v>
      </c>
      <c r="B103" s="27">
        <f t="array" ref="B103">$B$61*MMULT(B99:E99,TRANSPOSE(B101:E101))</f>
        <v>341819.25</v>
      </c>
    </row>
    <row r="106" spans="1:16" ht="16" thickBot="1" x14ac:dyDescent="0.25">
      <c r="B106" s="1" t="s">
        <v>31</v>
      </c>
      <c r="H106" s="1" t="s">
        <v>33</v>
      </c>
      <c r="K106" s="1" t="s">
        <v>38</v>
      </c>
    </row>
    <row r="107" spans="1:16" x14ac:dyDescent="0.2">
      <c r="B107" s="28">
        <v>0.3</v>
      </c>
      <c r="C107" s="29">
        <v>0.5</v>
      </c>
      <c r="D107" s="29">
        <v>0.92377387374119846</v>
      </c>
      <c r="E107" s="30">
        <v>0.95827511093920525</v>
      </c>
      <c r="G107" s="1" t="s">
        <v>32</v>
      </c>
      <c r="H107" s="1">
        <v>9.14</v>
      </c>
      <c r="K107" s="13">
        <f t="array" ref="K107:K110">MMULT(MINVERSE(B107:E110),H107:H110)</f>
        <v>2.267568265209265</v>
      </c>
      <c r="M107" s="1">
        <f t="array" ref="M107:M110">MMULT(MINVERSE(B107:E110),H107:H110)</f>
        <v>2.267568265209265</v>
      </c>
    </row>
    <row r="108" spans="1:16" x14ac:dyDescent="0.2">
      <c r="B108" s="31">
        <v>0.33697296514291397</v>
      </c>
      <c r="C108" s="32">
        <v>0.33232547557717085</v>
      </c>
      <c r="D108" s="32">
        <v>0.67767173702509598</v>
      </c>
      <c r="E108" s="33">
        <v>0.19363481490606604</v>
      </c>
      <c r="G108" s="1" t="s">
        <v>32</v>
      </c>
      <c r="H108" s="1">
        <v>8.1999999999999993</v>
      </c>
      <c r="K108" s="13">
        <v>20.018000950276303</v>
      </c>
      <c r="M108" s="1">
        <v>20.018000950276303</v>
      </c>
    </row>
    <row r="109" spans="1:16" x14ac:dyDescent="0.2">
      <c r="B109" s="31">
        <v>0.98015644221677878</v>
      </c>
      <c r="C109" s="32">
        <v>3.7115779024069595E-2</v>
      </c>
      <c r="D109" s="32">
        <v>0.47465718926654688</v>
      </c>
      <c r="E109" s="33">
        <v>3.3293394625483086E-2</v>
      </c>
      <c r="G109" s="1" t="s">
        <v>32</v>
      </c>
      <c r="H109" s="1">
        <v>3.9</v>
      </c>
      <c r="K109" s="13">
        <v>2.2330656288883155</v>
      </c>
      <c r="M109" s="1">
        <v>2.2330656288883155</v>
      </c>
    </row>
    <row r="110" spans="1:16" ht="16" thickBot="1" x14ac:dyDescent="0.25">
      <c r="B110" s="34">
        <v>0.73188865870743391</v>
      </c>
      <c r="C110" s="35">
        <v>0.19385125442483775</v>
      </c>
      <c r="D110" s="35">
        <v>0.80584487578747921</v>
      </c>
      <c r="E110" s="36">
        <v>0.73476662521751102</v>
      </c>
      <c r="G110" s="1" t="s">
        <v>32</v>
      </c>
      <c r="H110" s="1">
        <v>4.57</v>
      </c>
      <c r="K110" s="13">
        <v>-3.7693962827409613</v>
      </c>
      <c r="M110" s="1">
        <v>-3.7693962827409613</v>
      </c>
    </row>
    <row r="111" spans="1:16" x14ac:dyDescent="0.2">
      <c r="A111" s="1" t="s">
        <v>39</v>
      </c>
      <c r="B111" s="38">
        <f t="array" ref="B111:E111">TRANSPOSE(MMULT(MINVERSE($B$107:$E$110),$H$107:$H$110))</f>
        <v>2.267568265209265</v>
      </c>
      <c r="C111" s="38">
        <v>20.018000950276303</v>
      </c>
      <c r="D111" s="38">
        <v>2.2330656288883155</v>
      </c>
      <c r="E111" s="38">
        <v>-3.7693962827409613</v>
      </c>
    </row>
    <row r="112" spans="1:16" ht="17" x14ac:dyDescent="0.2">
      <c r="H112" s="1" t="s">
        <v>33</v>
      </c>
      <c r="J112" s="1" t="s">
        <v>35</v>
      </c>
      <c r="M112" s="1" t="s">
        <v>36</v>
      </c>
      <c r="P112" s="1" t="s">
        <v>37</v>
      </c>
    </row>
    <row r="113" spans="2:13" x14ac:dyDescent="0.2">
      <c r="B113" s="1">
        <f t="array" ref="B113:E116">MINVERSE(B107:E110)</f>
        <v>2.013645084322075</v>
      </c>
      <c r="C113" s="1">
        <v>-2.0477651617499517</v>
      </c>
      <c r="D113" s="1">
        <v>2.75931196945097</v>
      </c>
      <c r="E113" s="1">
        <v>-2.2115514573312214</v>
      </c>
      <c r="H113" s="11">
        <v>9.14</v>
      </c>
      <c r="J113" s="13">
        <f t="array" ref="J113:J116">MMULT(B113:E116,H113:H116)</f>
        <v>2.267568265209265</v>
      </c>
      <c r="M113" s="11">
        <f>$B$119*B107+$C$119*C107+$D$119*D107+$E$119*E107</f>
        <v>9.1399999999999917</v>
      </c>
    </row>
    <row r="114" spans="2:13" x14ac:dyDescent="0.2">
      <c r="B114" s="1">
        <v>6.9080656915409504</v>
      </c>
      <c r="C114" s="1">
        <v>-3.0434486234878104</v>
      </c>
      <c r="D114" s="1">
        <v>5.2376596938361732</v>
      </c>
      <c r="E114" s="1">
        <v>-8.4447075631879684</v>
      </c>
      <c r="H114" s="11">
        <v>8.1999999999999993</v>
      </c>
      <c r="J114" s="13">
        <v>20.018000950276303</v>
      </c>
      <c r="M114" s="11">
        <f t="shared" ref="M114:M116" si="13">$B$119*B108+$C$119*C108+$D$119*D108+$E$119*E108</f>
        <v>8.199999999999994</v>
      </c>
    </row>
    <row r="115" spans="2:13" x14ac:dyDescent="0.2">
      <c r="B115" s="1">
        <v>-4.7989537131946438</v>
      </c>
      <c r="C115" s="1">
        <v>4.6227985754622418</v>
      </c>
      <c r="D115" s="1">
        <v>-4.0202483082503928</v>
      </c>
      <c r="E115" s="1">
        <v>5.2226526588344671</v>
      </c>
      <c r="G115" s="1" t="s">
        <v>34</v>
      </c>
      <c r="H115" s="11">
        <v>3.9</v>
      </c>
      <c r="I115" s="37" t="s">
        <v>32</v>
      </c>
      <c r="J115" s="13">
        <v>2.2330656288883155</v>
      </c>
      <c r="M115" s="11">
        <f t="shared" si="13"/>
        <v>3.8999999999999946</v>
      </c>
    </row>
    <row r="116" spans="2:13" x14ac:dyDescent="0.2">
      <c r="B116" s="1">
        <v>1.4348924174058613</v>
      </c>
      <c r="C116" s="1">
        <v>-2.2273005559116168</v>
      </c>
      <c r="D116" s="1">
        <v>0.27881024176734343</v>
      </c>
      <c r="E116" s="1">
        <v>6.3936901039842828E-2</v>
      </c>
      <c r="H116" s="11">
        <v>4.57</v>
      </c>
      <c r="J116" s="13">
        <v>-3.7693962827409613</v>
      </c>
      <c r="M116" s="11">
        <f t="shared" si="13"/>
        <v>4.5699999999999932</v>
      </c>
    </row>
    <row r="119" spans="2:13" x14ac:dyDescent="0.2">
      <c r="B119" s="13">
        <f t="array" ref="B119:E119">TRANSPOSE(J113:J116)</f>
        <v>2.267568265209265</v>
      </c>
      <c r="C119" s="13">
        <v>20.018000950276303</v>
      </c>
      <c r="D119" s="13">
        <v>2.2330656288883155</v>
      </c>
      <c r="E119" s="13">
        <v>-3.7693962827409613</v>
      </c>
    </row>
    <row r="123" spans="2:13" x14ac:dyDescent="0.2">
      <c r="B123" s="1">
        <f ca="1">RAND()</f>
        <v>1.374106048039303E-2</v>
      </c>
      <c r="C123" s="1">
        <f t="shared" ref="C123:F127" ca="1" si="14">RAND()</f>
        <v>0.70231288438135642</v>
      </c>
      <c r="D123" s="1">
        <f t="shared" ca="1" si="14"/>
        <v>0.86882002930473823</v>
      </c>
      <c r="E123" s="1">
        <f t="shared" ca="1" si="14"/>
        <v>0.98878030671871386</v>
      </c>
      <c r="F123" s="1">
        <f ca="1">RAND()</f>
        <v>0.77443105605201001</v>
      </c>
      <c r="H123" s="1">
        <f ca="1">RAND()</f>
        <v>0.29002141789033353</v>
      </c>
    </row>
    <row r="124" spans="2:13" x14ac:dyDescent="0.2">
      <c r="B124" s="1">
        <f t="shared" ref="B124:B126" ca="1" si="15">RAND()</f>
        <v>0.14704038602364722</v>
      </c>
      <c r="C124" s="1">
        <f t="shared" ca="1" si="14"/>
        <v>0.85309491690413242</v>
      </c>
      <c r="D124" s="1">
        <f t="shared" ca="1" si="14"/>
        <v>0.18316818291104853</v>
      </c>
      <c r="E124" s="1">
        <f t="shared" ca="1" si="14"/>
        <v>0.96515906183700695</v>
      </c>
      <c r="F124" s="1">
        <f t="shared" ca="1" si="14"/>
        <v>0.72212116764667889</v>
      </c>
      <c r="H124" s="1">
        <f t="shared" ref="H124:H127" ca="1" si="16">RAND()</f>
        <v>0.55930937293495353</v>
      </c>
    </row>
    <row r="125" spans="2:13" x14ac:dyDescent="0.2">
      <c r="B125" s="1">
        <f t="shared" ca="1" si="15"/>
        <v>0.29136060611639369</v>
      </c>
      <c r="C125" s="1">
        <f t="shared" ca="1" si="14"/>
        <v>0.12752752723687422</v>
      </c>
      <c r="D125" s="1">
        <f t="shared" ca="1" si="14"/>
        <v>0.78581991884550739</v>
      </c>
      <c r="E125" s="1">
        <f t="shared" ca="1" si="14"/>
        <v>0.65658240524777967</v>
      </c>
      <c r="F125" s="1">
        <f t="shared" ca="1" si="14"/>
        <v>0.49781646535849233</v>
      </c>
      <c r="H125" s="1">
        <f t="shared" ca="1" si="16"/>
        <v>0.14778134835357526</v>
      </c>
    </row>
    <row r="126" spans="2:13" x14ac:dyDescent="0.2">
      <c r="B126" s="1">
        <f t="shared" ca="1" si="15"/>
        <v>8.7048739853850088E-2</v>
      </c>
      <c r="C126" s="1">
        <f t="shared" ca="1" si="14"/>
        <v>0.70998536439722082</v>
      </c>
      <c r="D126" s="1">
        <f t="shared" ca="1" si="14"/>
        <v>0.7489851340007434</v>
      </c>
      <c r="E126" s="1">
        <f t="shared" ca="1" si="14"/>
        <v>0.54230350450308706</v>
      </c>
      <c r="F126" s="1">
        <f t="shared" ca="1" si="14"/>
        <v>0.16089718963415711</v>
      </c>
      <c r="H126" s="1">
        <f t="shared" ca="1" si="16"/>
        <v>0.81317232416484919</v>
      </c>
    </row>
    <row r="127" spans="2:13" x14ac:dyDescent="0.2">
      <c r="B127" s="1">
        <f ca="1">RAND()</f>
        <v>0.799575460420196</v>
      </c>
      <c r="C127" s="1">
        <f t="shared" ca="1" si="14"/>
        <v>0.42056993195745485</v>
      </c>
      <c r="D127" s="1">
        <f t="shared" ca="1" si="14"/>
        <v>0.44365856898140532</v>
      </c>
      <c r="E127" s="1">
        <f t="shared" ca="1" si="14"/>
        <v>0.42779170847454306</v>
      </c>
      <c r="F127" s="1">
        <f ca="1">RAND()</f>
        <v>0.49816511067678426</v>
      </c>
      <c r="H127" s="1">
        <f t="shared" ca="1" si="16"/>
        <v>0.54042851935563552</v>
      </c>
    </row>
    <row r="128" spans="2:13" x14ac:dyDescent="0.2">
      <c r="B128" s="1">
        <f t="array" aca="1" ref="B128:F128" ca="1">TRANSPOSE(MMULT(MINVERSE($B$123:$F$127),$H$123:$H$127))</f>
        <v>0.6895693144025633</v>
      </c>
      <c r="C128" s="1">
        <f ca="1"/>
        <v>0.76212104399532565</v>
      </c>
      <c r="D128" s="1">
        <f ca="1"/>
        <v>-1.6143310882971801E-2</v>
      </c>
      <c r="E128" s="1">
        <f ca="1"/>
        <v>0.81379615875810529</v>
      </c>
      <c r="F128" s="1">
        <f ca="1"/>
        <v>-1.3498185537372234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ution">
                <anchor moveWithCells="1" sizeWithCells="1">
                  <from>
                    <xdr:col>18</xdr:col>
                    <xdr:colOff>177800</xdr:colOff>
                    <xdr:row>106</xdr:row>
                    <xdr:rowOff>25400</xdr:rowOff>
                  </from>
                  <to>
                    <xdr:col>20</xdr:col>
                    <xdr:colOff>177800</xdr:colOff>
                    <xdr:row>107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Feuil1</vt:lpstr>
      <vt:lpstr>matD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Meraihi, Noureddine</cp:lastModifiedBy>
  <dcterms:created xsi:type="dcterms:W3CDTF">2021-11-30T23:25:24Z</dcterms:created>
  <dcterms:modified xsi:type="dcterms:W3CDTF">2022-12-01T02:07:14Z</dcterms:modified>
</cp:coreProperties>
</file>